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C0B4E934-F006-47EA-8DBE-3627171E6F0B}" xr6:coauthVersionLast="36" xr6:coauthVersionMax="36" xr10:uidLastSave="{00000000-0000-0000-0000-000000000000}"/>
  <bookViews>
    <workbookView xWindow="0" yWindow="0" windowWidth="38370" windowHeight="19980" xr2:uid="{E3AE14E6-6013-450F-A9BF-3D16B50D960B}"/>
  </bookViews>
  <sheets>
    <sheet name="Расчет" sheetId="3" r:id="rId1"/>
    <sheet name="System" sheetId="2" r:id="rId2"/>
    <sheet name="Results" sheetId="1" r:id="rId3"/>
  </sheets>
  <functionGroups builtInGroupCount="19"/>
  <definedNames>
    <definedName name="rngBatchSummary">Results!$A$1:$N$29</definedName>
    <definedName name="rngCircleGeometry">System!$F$16:$I$25</definedName>
    <definedName name="rngConcreteDiagramPoints">System!$F$4:$H$13</definedName>
    <definedName name="rngLoadCombinations">Расчет!$A$40:$G$60</definedName>
    <definedName name="rngLShapeGeometry">System!$F$30:$L$48</definedName>
    <definedName name="rngNDMElementResults">Results!$A$32</definedName>
    <definedName name="rngNDMSectionAnnotations">Results!$AL$32</definedName>
    <definedName name="rngNDMSectionGeometry">Results!$J$32</definedName>
    <definedName name="rngNDMSectionProperties">Results!$AC$32</definedName>
    <definedName name="rngPlotAnnotationSettings">System!$N$20:$R$32</definedName>
    <definedName name="rngResultSection">Расчет!$S$17:$AH$35</definedName>
    <definedName name="rngRoundedRectangleGeometry">System!$J$16:$M$22</definedName>
    <definedName name="rngSignConventionSettings">System!$N$13:$P$16</definedName>
    <definedName name="rngSteelDiagramPoints">System!$J$4:$L$13</definedName>
    <definedName name="rngSystemSettings">System!$A$3:$D$101</definedName>
    <definedName name="rngUnitSettings">System!$N$3:$Q$9</definedName>
    <definedName name="_xlnm.Print_Area" localSheetId="0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Z21" i="2" l="1"/>
  <c r="CZ20" i="2"/>
  <c r="CZ19" i="2"/>
  <c r="CZ18" i="2"/>
  <c r="CZ17" i="2"/>
  <c r="CZ16" i="2"/>
  <c r="CZ15" i="2"/>
  <c r="CZ14" i="2"/>
  <c r="CZ13" i="2"/>
  <c r="CZ12" i="2"/>
  <c r="CZ11" i="2"/>
  <c r="CZ10" i="2"/>
  <c r="CZ9" i="2"/>
  <c r="CZ8" i="2"/>
  <c r="CZ7" i="2"/>
  <c r="CZ6" i="2"/>
  <c r="CZ5" i="2"/>
  <c r="CZ4" i="2"/>
  <c r="CZ3" i="2"/>
  <c r="CZ2" i="2"/>
  <c r="K46" i="2"/>
  <c r="K45" i="2"/>
  <c r="K44" i="2"/>
  <c r="K43" i="2"/>
  <c r="K41" i="2"/>
  <c r="K40" i="2"/>
  <c r="K39" i="2"/>
  <c r="K38" i="2"/>
  <c r="K35" i="2"/>
  <c r="K34" i="2"/>
  <c r="K33" i="2"/>
  <c r="K32" i="2"/>
  <c r="K31" i="2"/>
  <c r="L22" i="2"/>
  <c r="L21" i="2"/>
  <c r="L20" i="2"/>
  <c r="L19" i="2"/>
  <c r="L18" i="2"/>
  <c r="L17" i="2"/>
  <c r="H23" i="2"/>
  <c r="H22" i="2"/>
  <c r="H20" i="2"/>
  <c r="H18" i="2"/>
  <c r="H17" i="2"/>
  <c r="L3" i="2"/>
  <c r="H3" i="2"/>
  <c r="C95" i="2"/>
  <c r="C86" i="2"/>
  <c r="C60" i="2"/>
  <c r="C59" i="2"/>
  <c r="C42" i="2"/>
  <c r="C37" i="2"/>
  <c r="C36" i="2"/>
  <c r="C35" i="2"/>
  <c r="C27" i="2"/>
  <c r="C26" i="2"/>
  <c r="C25" i="2"/>
  <c r="C18" i="2"/>
  <c r="C17" i="2"/>
  <c r="C16" i="2"/>
  <c r="C15" i="2"/>
  <c r="C14" i="2"/>
  <c r="C10" i="2"/>
  <c r="C9" i="2"/>
  <c r="C7" i="2"/>
  <c r="D40" i="3"/>
  <c r="C40" i="3"/>
  <c r="B40" i="3"/>
</calcChain>
</file>

<file path=xl/sharedStrings.xml><?xml version="1.0" encoding="utf-8"?>
<sst xmlns="http://schemas.openxmlformats.org/spreadsheetml/2006/main" count="535" uniqueCount="386">
  <si>
    <t>Сочетания нагрузок</t>
  </si>
  <si>
    <t>CombinationID</t>
  </si>
  <si>
    <t>N</t>
  </si>
  <si>
    <t>Mx</t>
  </si>
  <si>
    <t>My</t>
  </si>
  <si>
    <t>CalculationType</t>
  </si>
  <si>
    <t>DurationType</t>
  </si>
  <si>
    <t>Comment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</si>
  <si>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</si>
  <si>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</si>
  <si>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</si>
  <si>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</si>
  <si>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</si>
  <si>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</si>
  <si>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</si>
  <si>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</si>
  <si>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</si>
  <si>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</si>
  <si>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</si>
  <si>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</si>
  <si>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</si>
  <si>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</si>
  <si>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</si>
  <si>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System</t>
  </si>
  <si>
    <t>Параметр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</si>
  <si>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</si>
  <si>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</si>
  <si>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</si>
  <si>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</si>
  <si>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</si>
  <si>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</si>
  <si>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</si>
  <si>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</si>
  <si>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</si>
  <si>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</si>
  <si>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</si>
  <si>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</si>
  <si>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</si>
  <si>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</si>
  <si>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</si>
  <si>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</si>
  <si>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</si>
  <si>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[Бетон и диаграмма]</t>
  </si>
  <si>
    <t>Concrete.Class</t>
  </si>
  <si>
    <t>B30</t>
  </si>
  <si>
    <t>Класс бетона для текущего набора параметров.</t>
  </si>
  <si>
    <t>Concrete.Rb.ULS</t>
  </si>
  <si>
    <t>Расчетное сопротивление бетона осевому сжатию.</t>
  </si>
  <si>
    <t>Concrete.Rbt.ULS</t>
  </si>
  <si>
    <t>Расчетное сопротивление бетона осевому растяжению.</t>
  </si>
  <si>
    <t>Concrete.Rb.SLS</t>
  </si>
  <si>
    <t>Сопротивление бетона сжатию для эксплуатационных расчетов.</t>
  </si>
  <si>
    <t>Concrete.Rbt.SLS</t>
  </si>
  <si>
    <t>Сопротивление бетона растяжению для режима UseDiagram.</t>
  </si>
  <si>
    <t>Concrete.Eb</t>
  </si>
  <si>
    <t>Начальный модуль деформации бетона.</t>
  </si>
  <si>
    <t>Concrete.TensionMode</t>
  </si>
  <si>
    <t>Ignore</t>
  </si>
  <si>
    <t>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</si>
  <si>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Capacity.ConcreteCompressionLimit</t>
  </si>
  <si>
    <t>Предельная сжимающая деформация бетона для фиксации ConcreteStrainLimit при поиске несущей способности.</t>
  </si>
  <si>
    <t>Capacity.ConcreteTensionLimit</t>
  </si>
  <si>
    <t>Предельная растягивающая деформация бетона для ConcreteTensionStrainLimit; используется только при Concrete.TensionMode = UseDiagram.</t>
  </si>
  <si>
    <t>[Арматура и диаграмма]</t>
  </si>
  <si>
    <t>Steel.Class</t>
  </si>
  <si>
    <t>A400</t>
  </si>
  <si>
    <t>Класс обычной ненапрягаемой арматуры.</t>
  </si>
  <si>
    <t>Steel.Rs.ULS</t>
  </si>
  <si>
    <t>Расчетное сопротивление арматуры растяжению.</t>
  </si>
  <si>
    <t>Steel.Rsc.ULS</t>
  </si>
  <si>
    <t>Расчетное сопротивление арматуры сжатию.</t>
  </si>
  <si>
    <t>Steel.Es</t>
  </si>
  <si>
    <t>Модуль упругости обычной ненапрягаемой арматуры.</t>
  </si>
  <si>
    <t>Capacity.SteelStrainLimit</t>
  </si>
  <si>
    <t>Предельная деформация обычной ненапрягаемой арматуры для фиксации SteelStrainLimit при поиске несущей способности.</t>
  </si>
  <si>
    <t>[Решатель равновесия]</t>
  </si>
  <si>
    <t>Calculation.Mode</t>
  </si>
  <si>
    <t>FullCapacity</t>
  </si>
  <si>
    <t>Режим расчета: DirectState - НДС по заданным усилиям; FullCapacity - поиск lambdaUltimate.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</si>
  <si>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</si>
  <si>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</si>
  <si>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</si>
  <si>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</si>
  <si>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</si>
  <si>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</si>
  <si>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</si>
  <si>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</si>
  <si>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силе; меньше значение строже и может увеличить число итераций.</t>
  </si>
  <si>
    <t>Solver.ToleranceMx</t>
  </si>
  <si>
    <t>Применяется к Newton и Secant. Абсолютный допуск равновесия по моменту Mx; меньше значение строже и может увеличить число итераций.</t>
  </si>
  <si>
    <t>Solver.ToleranceMy</t>
  </si>
  <si>
    <t>Применяется к Newton и Secant. Абсолютный допуск равновесия по моменту My; меньше значение строже и может увеличить число итераций.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</si>
  <si>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</si>
  <si>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</si>
  <si>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</si>
  <si>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</si>
  <si>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</si>
  <si>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</si>
  <si>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</si>
  <si>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</si>
  <si>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</si>
  <si>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</si>
  <si>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</si>
  <si>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</si>
  <si>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</si>
  <si>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</si>
  <si>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</si>
  <si>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несущей способности]</t>
  </si>
  <si>
    <t>Capacity.Method</t>
  </si>
  <si>
    <t>UltimateStrain</t>
  </si>
  <si>
    <t>Актуально для всех расчетов несущей способности. Метод определения: LoadMultiplier - масштабирование заданного вектора моментов; UltimateStrain - прямой поиск состояния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</si>
  <si>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</si>
  <si>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</si>
  <si>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</si>
  <si>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</si>
  <si>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</si>
  <si>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</si>
  <si>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</si>
  <si>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</si>
  <si>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</si>
  <si>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</si>
  <si>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</si>
  <si>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</si>
  <si>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</si>
  <si>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</si>
  <si>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</si>
  <si>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</si>
  <si>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</si>
  <si>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</si>
  <si>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CrackWidth.Enabled</t>
  </si>
  <si>
    <t>Включить расчет ширины раскрытия уже образовавшихся нормальных трещин.</t>
  </si>
  <si>
    <t>CrackWidth.Allowable</t>
  </si>
  <si>
    <t>Допустимая ширина раскрытия трещин для коэффициента использования.</t>
  </si>
  <si>
    <t>CrackWidth.CrackSpacing</t>
  </si>
  <si>
    <t>Временный параметр расстояния между трещинами до окончательной нормативной трассировки.</t>
  </si>
  <si>
    <t>CrackWidth.StrainFactor</t>
  </si>
  <si>
    <t>Временный коэффициент для прозрачной формулы ширины раскрытия на листе.</t>
  </si>
  <si>
    <t>CrackWidth.DurationFactor</t>
  </si>
  <si>
    <t>Временный коэффициент длительности действия нагрузки.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</si>
  <si>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</si>
  <si>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</si>
  <si>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</si>
  <si>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</si>
  <si>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</si>
  <si>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</si>
  <si>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</si>
  <si>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</si>
  <si>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</si>
  <si>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</si>
  <si>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</si>
  <si>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</si>
  <si>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расчетного snapshot.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</si>
  <si>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</si>
  <si>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</si>
  <si>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</si>
  <si>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</si>
  <si>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</si>
  <si>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знаку напряжения: растяжение, сжатие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</si>
  <si>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</si>
  <si>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</si>
  <si>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</si>
  <si>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</t>
  </si>
  <si>
    <t>Anno_Concrete_Positive</t>
  </si>
  <si>
    <t>Слой для подписей положительных напряжений бетона, то есть растянутых бетонных волокон.</t>
  </si>
  <si>
    <t>AutoCAD.Layer.ConcreteCompression</t>
  </si>
  <si>
    <t>Anno_Concrete_Negative</t>
  </si>
  <si>
    <t>Слой для подписей отрицательных, нулевых и почти нулевых напряжений бетона.</t>
  </si>
  <si>
    <t>AutoCAD.Layer.RebarTension</t>
  </si>
  <si>
    <t>Anno_Rebar_Positive</t>
  </si>
  <si>
    <t>Слой для подписей положительных напряжений арматуры, то есть растянутых стержней.</t>
  </si>
  <si>
    <t>AutoCAD.Layer.RebarCompression</t>
  </si>
  <si>
    <t>Anno_Rebar_Negative</t>
  </si>
  <si>
    <t>Слой для подписей отрицательных, нулевых и почти нулевых напряжений арматуры.</t>
  </si>
  <si>
    <t>AutoCAD.Color.ConcreteTension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</si>
  <si>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</si>
  <si>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</si>
  <si>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</si>
  <si>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</si>
  <si>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</si>
  <si>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</si>
  <si>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</si>
  <si>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</si>
  <si>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</si>
  <si>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</si>
  <si>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</si>
  <si>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</si>
  <si>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</si>
  <si>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Steel.Class берется из System, разные классы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</si>
  <si>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</si>
  <si>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</si>
  <si>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</si>
  <si>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</si>
  <si>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последнему расчетному snapshot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</si>
  <si>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</si>
  <si>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</si>
  <si>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</si>
  <si>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</si>
  <si>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</si>
  <si>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Используется сохраненный snapshot, а не текущие единицы System.</t>
  </si>
  <si>
    <t>Plot.ResultGradient</t>
  </si>
  <si>
    <t>Включить цветовое различение результата на схеме. Цвет физического состояния берется из PhysicalState snapshot.</t>
  </si>
  <si>
    <t>Plot.ResultLabelsEnabled</t>
  </si>
  <si>
    <t>No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</si>
  <si>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</si>
  <si>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</si>
  <si>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</si>
  <si>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</si>
  <si>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</si>
  <si>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</si>
  <si>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</si>
  <si>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</si>
  <si>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</si>
  <si>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</si>
  <si>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расчетного snapshot.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</si>
  <si>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</si>
  <si>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</si>
  <si>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</si>
  <si>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</si>
  <si>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Точки диаграммы бетона</t>
  </si>
  <si>
    <t>Point</t>
  </si>
  <si>
    <t>Strain</t>
  </si>
  <si>
    <t>Точки диаграммы арматуры</t>
  </si>
  <si>
    <t>Units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</si>
  <si>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</si>
  <si>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</si>
  <si>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</si>
  <si>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</si>
  <si>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</si>
  <si>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</si>
  <si>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</si>
  <si>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</si>
  <si>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</si>
  <si>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</si>
  <si>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</si>
  <si>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</si>
  <si>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</si>
  <si>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</si>
  <si>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</si>
  <si>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</si>
  <si>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</si>
  <si>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</si>
  <si>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</si>
  <si>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</si>
  <si>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</si>
  <si>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</si>
  <si>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</si>
  <si>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</si>
  <si>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</si>
  <si>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</si>
  <si>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</si>
  <si>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Sign convention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</si>
  <si>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</si>
  <si>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</si>
  <si>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</si>
  <si>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</si>
  <si>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</si>
  <si>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</si>
  <si>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</si>
  <si>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</si>
  <si>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</si>
  <si>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</si>
  <si>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[Аннотации схемы]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</si>
  <si>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</si>
  <si>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</si>
  <si>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</si>
  <si>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</si>
  <si>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</si>
  <si>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</si>
  <si>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</si>
  <si>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</si>
  <si>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</si>
  <si>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</si>
  <si>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</si>
  <si>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-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</si>
  <si>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</si>
  <si>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</si>
  <si>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</si>
  <si>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</si>
  <si>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</si>
  <si>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</si>
  <si>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</si>
  <si>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</si>
  <si>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</si>
  <si>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</si>
  <si>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</si>
  <si>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</si>
  <si>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</si>
  <si>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</si>
  <si>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Wide</t>
  </si>
  <si>
    <t>Размер стрелок размерной линии.</t>
  </si>
  <si>
    <t>Color</t>
  </si>
  <si>
    <t>20,30,90</t>
  </si>
  <si>
    <t>RGB</t>
  </si>
  <si>
    <t>Цвет текста и основной линии в формате R,G,B.</t>
  </si>
  <si>
    <t>ExtensionLineColor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</si>
  <si>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</si>
  <si>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</si>
  <si>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</si>
  <si>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</si>
  <si>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</si>
  <si>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</si>
  <si>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</si>
  <si>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</si>
  <si>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</si>
  <si>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</si>
  <si>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</si>
  <si>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</si>
  <si>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</si>
  <si>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</si>
  <si>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</si>
  <si>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</si>
  <si>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</si>
  <si>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</si>
  <si>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</si>
  <si>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</si>
  <si>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</si>
  <si>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</si>
  <si>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</si>
  <si>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</si>
  <si>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</si>
  <si>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</si>
  <si>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</si>
  <si>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</si>
  <si>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</si>
  <si>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</si>
  <si>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</si>
  <si>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</si>
  <si>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</si>
  <si>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</si>
  <si>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</si>
  <si>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</si>
  <si>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</si>
  <si>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</si>
  <si>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</si>
  <si>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</si>
  <si>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величина размера</t>
  </si>
  <si>
    <t>H1 и B1 - высота и ширина верхнего прямоугольника; H2 и B2 - высота и ширина нижнего прямоугольника; полная высота сечения равна H1 + H2.</t>
  </si>
  <si>
    <t>as_1</t>
  </si>
  <si>
    <t>Отступ от грани _1. Нумерация граней идет слева направо для H и сверху вниз для B: _1 - левая/верхняя грань.</t>
  </si>
  <si>
    <t>as_2</t>
  </si>
  <si>
    <t>Отступ от грани _2. Нумерация граней идет слева направо для H и сверху вниз для B: _2 - правая/нижняя грань.</t>
  </si>
  <si>
    <t>d_1</t>
  </si>
  <si>
    <t>Диаметр стержней у грани _1; если n_1 = 0, значение не используется.</t>
  </si>
  <si>
    <t>d_2</t>
  </si>
  <si>
    <t>Диаметр стержней у грани _2; если n_2 = 0, значение не используется.</t>
  </si>
  <si>
    <t>n_1</t>
  </si>
  <si>
    <t>Количество стержней у грани _1; 0 означает, что арматура у этой грани не создается.</t>
  </si>
  <si>
    <t>n_2</t>
  </si>
  <si>
    <t>Количество стержней у грани _2; 0 означает, что арматура у этой грани не создается.</t>
  </si>
  <si>
    <t>t1_1</t>
  </si>
  <si>
    <t>Отступ первого стержня от начала грани _1 при обходе по часовой стрелке.</t>
  </si>
  <si>
    <t>t2_1</t>
  </si>
  <si>
    <t>Отступ последнего стержня от конца грани _1 при обходе по часовой стрелке.</t>
  </si>
  <si>
    <t>t1_2</t>
  </si>
  <si>
    <t>Отступ первого стержня от начала грани _2 при обходе по часовой стрелке.</t>
  </si>
  <si>
    <t>t2_2</t>
  </si>
  <si>
    <t>Отступ последнего стержня от конца грани _2 при обходе по часовой стрелке.</t>
  </si>
  <si>
    <t>Параметры дополнительных рядов. Пустой диаметр означает, что ряд не создается. Суффикс _1 - левая грань для H или верхняя грань для B; _2 - правая грань для H или нижняя грань для B.</t>
  </si>
  <si>
    <t>d_2row_1</t>
  </si>
  <si>
    <t>Диаметр стержней второго ряда у грани _1. Если первый ряд этой грани не задан, второй ряд не создается.</t>
  </si>
  <si>
    <t>d_2row_2</t>
  </si>
  <si>
    <t>Диаметр стержней второго ряда у грани _2. Если первый ряд этой грани не задан, второй ряд не создается.</t>
  </si>
  <si>
    <t>d_3row_1</t>
  </si>
  <si>
    <t>Диаметр стержней третьего ряда у грани _1. Ставится относительно первого ряда; при совпадении loc_3row с loc_2row перескакивает второй ряд.</t>
  </si>
  <si>
    <t>d_3row_2</t>
  </si>
  <si>
    <t>Диаметр стержней третьего ряда у грани _2. Ставится относительно первого ряда; при совпадении loc_3row с loc_2row перескакивает второй ряд.</t>
  </si>
  <si>
    <t>loc_2row</t>
  </si>
  <si>
    <t>Расположение второго ряда, общее для граней _1/_2: Stacked - внутрь сечения; SideBySide - для H вниз, для B вправо.</t>
  </si>
  <si>
    <t>loc_3row</t>
  </si>
  <si>
    <t>Расположение третьего ряда, общее для граней _1/_2: Stacked - внутрь сечения; SideBySide - для H вниз, для B вправо.</t>
  </si>
  <si>
    <t>AutoCAD</t>
  </si>
  <si>
    <t>RoundedRectangle</t>
  </si>
  <si>
    <t>Circle</t>
  </si>
  <si>
    <t>UseDiagram</t>
  </si>
  <si>
    <t>DirectState</t>
  </si>
  <si>
    <t>Secant</t>
  </si>
  <si>
    <t>LoadMultiplier</t>
  </si>
  <si>
    <t>Brent</t>
  </si>
  <si>
    <t>ValuesOnly</t>
  </si>
  <si>
    <t>Inside</t>
  </si>
  <si>
    <t>Small</t>
  </si>
  <si>
    <t>Medium</t>
  </si>
  <si>
    <t>Stealth</t>
  </si>
  <si>
    <t>Diamond</t>
  </si>
  <si>
    <t>Oval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</si>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</sst>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3" fillId="0" borderId="0" xfId="0" applyFont="1"/>
    <xf numFmtId="0" fontId="4" fillId="4" borderId="0" xfId="0" applyFont="1" applyFill="1"/>
    <xf numFmtId="0" fontId="4" fillId="5" borderId="0" xfId="0" applyFont="1" applyFill="1"/>
    <xf numFmtId="0" fontId="3" fillId="5" borderId="0" xfId="0" applyFont="1" applyFill="1"/>
    <xf numFmtId="3" fontId="3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40</xdr:col>
      <xdr:colOff>76200</xdr:colOff>
      <xdr:row>5</xdr:row>
      <xdr:rowOff>12700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E6037E84-6B14-41D3-8C1C-2DED6858346B}"/>
            </a:ext>
          </a:extLst>
        </xdr:cNvPr>
        <xdr:cNvSpPr/>
      </xdr:nvSpPr>
      <xdr:spPr>
        <a:xfrm>
          <a:off x="11239500" y="781050"/>
          <a:ext cx="1905000" cy="3556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114300</xdr:rowOff>
    </xdr:from>
    <xdr:to>
      <xdr:col>40</xdr:col>
      <xdr:colOff>76200</xdr:colOff>
      <xdr:row>7</xdr:row>
      <xdr:rowOff>127000</xdr:rowOff>
    </xdr:to>
    <xdr:sp macro="ClearSectionResults" textlink="">
      <xdr:nvSpPr>
        <xdr:cNvPr id="3" name="btnClearSectionResults">
          <a:extLst>
            <a:ext uri="{FF2B5EF4-FFF2-40B4-BE49-F238E27FC236}">
              <a16:creationId xmlns:a16="http://schemas.microsoft.com/office/drawing/2014/main" id="{9BC3F391-7044-4DC3-B555-AD51057E7C0F}"/>
            </a:ext>
          </a:extLst>
        </xdr:cNvPr>
        <xdr:cNvSpPr/>
      </xdr:nvSpPr>
      <xdr:spPr>
        <a:xfrm>
          <a:off x="11239500" y="1238250"/>
          <a:ext cx="1905000" cy="3556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Очистить результаты</a:t>
          </a:r>
        </a:p>
      </xdr:txBody>
    </xdr:sp>
    <xdr:clientData/>
  </xdr:twoCellAnchor>
  <xdr:twoCellAnchor>
    <xdr:from>
      <xdr:col>37</xdr:col>
      <xdr:colOff>0</xdr:colOff>
      <xdr:row>8</xdr:row>
      <xdr:rowOff>57150</xdr:rowOff>
    </xdr:from>
    <xdr:to>
      <xdr:col>40</xdr:col>
      <xdr:colOff>76200</xdr:colOff>
      <xdr:row>10</xdr:row>
      <xdr:rowOff>69850</xdr:rowOff>
    </xdr:to>
    <xdr:sp macro="ExportSectionStressToAutoCAD" textlink="">
      <xdr:nvSpPr>
        <xdr:cNvPr id="4" name="btnExportStressToAutoCAD">
          <a:extLst>
            <a:ext uri="{FF2B5EF4-FFF2-40B4-BE49-F238E27FC236}">
              <a16:creationId xmlns:a16="http://schemas.microsoft.com/office/drawing/2014/main" id="{37BD8DF1-A165-43DE-8FE2-B8EE2A8965EA}"/>
            </a:ext>
          </a:extLst>
        </xdr:cNvPr>
        <xdr:cNvSpPr/>
      </xdr:nvSpPr>
      <xdr:spPr>
        <a:xfrm>
          <a:off x="11239500" y="1695450"/>
          <a:ext cx="1905000" cy="3556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Экспорт в </a:t>
          </a:r>
          <a:r>
            <a:rPr lang="en-US" sz="1100" b="1">
              <a:solidFill>
                <a:srgbClr val="FFFFFF"/>
              </a:solidFill>
            </a:rPr>
            <a:t>AutoCAD</a:t>
          </a:r>
          <a:endParaRPr lang="ru-RU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0</xdr:rowOff>
    </xdr:from>
    <xdr:to>
      <xdr:col>40</xdr:col>
      <xdr:colOff>76200</xdr:colOff>
      <xdr:row>13</xdr:row>
      <xdr:rowOff>12700</xdr:rowOff>
    </xdr:to>
    <xdr:sp macro="UpdateSectionPlot" textlink="">
      <xdr:nvSpPr>
        <xdr:cNvPr id="5" name="btnUpdateSectionPlot">
          <a:extLst>
            <a:ext uri="{FF2B5EF4-FFF2-40B4-BE49-F238E27FC236}">
              <a16:creationId xmlns:a16="http://schemas.microsoft.com/office/drawing/2014/main" id="{14AC5794-F265-4E06-B271-88786F27E439}"/>
            </a:ext>
          </a:extLst>
        </xdr:cNvPr>
        <xdr:cNvSpPr/>
      </xdr:nvSpPr>
      <xdr:spPr>
        <a:xfrm>
          <a:off x="11239500" y="2152650"/>
          <a:ext cx="1905000" cy="3556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58265-6659-4EB4-99DC-8AFA750280E1}">
  <sheetPr codeName="Лист1"/>
  <dimension ref="A1:AJ60"/>
  <sheetViews>
    <sheetView tabSelected="1"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8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9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36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36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10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36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11</v>
      </c>
      <c r="AB8" s="7"/>
      <c r="AC8" s="7"/>
      <c r="AD8" s="7"/>
      <c r="AE8" s="7"/>
      <c r="AF8" s="7"/>
      <c r="AG8" s="7"/>
      <c r="AH8" s="7"/>
      <c r="AI8" s="7"/>
      <c r="AJ8" s="4"/>
    </row>
    <row r="9" spans="1:36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12</v>
      </c>
      <c r="AB9" s="7"/>
      <c r="AC9" s="7"/>
      <c r="AD9" s="7"/>
      <c r="AE9" s="7"/>
      <c r="AF9" s="7"/>
      <c r="AG9" s="7"/>
      <c r="AH9" s="7"/>
      <c r="AI9" s="7"/>
      <c r="AJ9" s="4"/>
    </row>
    <row r="10" spans="1:36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12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36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13</v>
      </c>
      <c r="T11" s="6"/>
      <c r="U11" s="6"/>
      <c r="V11" s="6"/>
      <c r="W11" s="7" t="s">
        <v>14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36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15</v>
      </c>
      <c r="T12" s="6"/>
      <c r="U12" s="6"/>
      <c r="V12" s="6"/>
      <c r="W12" s="7" t="s">
        <v>16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36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36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36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36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17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18</v>
      </c>
      <c r="T18" s="7"/>
      <c r="U18" s="7"/>
      <c r="V18" s="7"/>
      <c r="W18" s="8" t="s">
        <v>19</v>
      </c>
      <c r="X18" s="7"/>
      <c r="Y18" s="7"/>
      <c r="Z18" s="7"/>
      <c r="AA18" s="8" t="s">
        <v>20</v>
      </c>
      <c r="AB18" s="7"/>
      <c r="AC18" s="7"/>
      <c r="AD18" s="7"/>
      <c r="AE18" s="8" t="s">
        <v>21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22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8" t="s">
        <v>7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7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7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7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7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7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7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7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7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7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7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7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7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7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7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7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7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7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7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7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7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6170-9BFC-426A-95D2-92A076E79EC9}">
  <sheetPr codeName="Лист2"/>
  <dimension ref="A1:DK260"/>
  <sheetViews>
    <sheetView workbookViewId="0"/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14" max="14" width="14.7109375" customWidth="1"/>
    <col min="15" max="17" width="16.7109375" customWidth="1"/>
    <col min="70" max="115" width="0" hidden="1" customWidth="1"/>
  </cols>
  <sheetData>
    <row r="1" spans="1:115" x14ac:dyDescent="0.25">
      <c r="A1" s="11" t="s">
        <v>23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 t="s">
        <v>312</v>
      </c>
      <c r="BI1" s="3" t="s">
        <v>312</v>
      </c>
      <c r="BJ1" s="3"/>
      <c r="BK1" s="3"/>
      <c r="BL1" s="3"/>
      <c r="BM1" s="3"/>
      <c r="BN1" s="3"/>
      <c r="BO1" s="3"/>
      <c r="BP1" s="3"/>
      <c r="BQ1" s="3"/>
      <c r="BR1" s="3" t="s">
        <v>228</v>
      </c>
      <c r="BS1" s="3" t="s">
        <v>230</v>
      </c>
      <c r="BT1" s="3" t="s">
        <v>2</v>
      </c>
      <c r="BU1" s="3" t="s">
        <v>235</v>
      </c>
      <c r="BV1" s="3" t="s">
        <v>245</v>
      </c>
      <c r="BW1" s="3" t="s">
        <v>238</v>
      </c>
      <c r="BX1" s="3" t="s">
        <v>254</v>
      </c>
      <c r="BY1" s="3" t="s">
        <v>256</v>
      </c>
      <c r="BZ1" s="3" t="s">
        <v>258</v>
      </c>
      <c r="CA1" s="3"/>
      <c r="CB1" s="3" t="s">
        <v>27</v>
      </c>
      <c r="CC1" s="3" t="s">
        <v>371</v>
      </c>
      <c r="CD1" s="3" t="s">
        <v>57</v>
      </c>
      <c r="CE1" s="3" t="s">
        <v>374</v>
      </c>
      <c r="CF1" s="3" t="s">
        <v>80</v>
      </c>
      <c r="CG1" s="3" t="s">
        <v>376</v>
      </c>
      <c r="CH1" s="3" t="s">
        <v>112</v>
      </c>
      <c r="CI1" s="3" t="s">
        <v>93</v>
      </c>
      <c r="CJ1" s="3" t="s">
        <v>93</v>
      </c>
      <c r="CK1" s="3" t="s">
        <v>150</v>
      </c>
      <c r="CL1" s="3" t="s">
        <v>378</v>
      </c>
      <c r="CM1" s="3" t="s">
        <v>93</v>
      </c>
      <c r="CN1" s="3" t="s">
        <v>93</v>
      </c>
      <c r="CO1" s="3" t="s">
        <v>93</v>
      </c>
      <c r="CP1" s="3" t="s">
        <v>93</v>
      </c>
      <c r="CQ1" s="3" t="s">
        <v>93</v>
      </c>
      <c r="CR1" s="3" t="s">
        <v>150</v>
      </c>
      <c r="CS1" s="3" t="s">
        <v>93</v>
      </c>
      <c r="CT1" s="3" t="s">
        <v>93</v>
      </c>
      <c r="CU1" s="3" t="s">
        <v>93</v>
      </c>
      <c r="CV1" s="3" t="s">
        <v>93</v>
      </c>
      <c r="CW1" s="3" t="s">
        <v>93</v>
      </c>
      <c r="CX1" s="3" t="s">
        <v>93</v>
      </c>
      <c r="CY1" s="3" t="s">
        <v>93</v>
      </c>
      <c r="CZ1" s="3" t="s">
        <v>141</v>
      </c>
      <c r="DA1" s="3"/>
      <c r="DB1" s="3"/>
      <c r="DC1" s="3"/>
      <c r="DD1" s="3"/>
      <c r="DE1" s="3"/>
      <c r="DF1" s="3" t="s">
        <v>93</v>
      </c>
      <c r="DG1" s="3" t="s">
        <v>268</v>
      </c>
      <c r="DH1" s="3" t="s">
        <v>285</v>
      </c>
      <c r="DI1" s="3" t="s">
        <v>380</v>
      </c>
      <c r="DJ1" s="3"/>
      <c r="DK1" s="3"/>
    </row>
    <row r="2" spans="1:115" x14ac:dyDescent="0.25">
      <c r="A2" s="3"/>
      <c r="B2" s="3"/>
      <c r="C2" s="3"/>
      <c r="D2" s="3"/>
      <c r="E2" s="3"/>
      <c r="F2" s="12" t="s">
        <v>218</v>
      </c>
      <c r="G2" s="13"/>
      <c r="H2" s="13"/>
      <c r="I2" s="3"/>
      <c r="J2" s="12" t="s">
        <v>221</v>
      </c>
      <c r="K2" s="13"/>
      <c r="L2" s="13"/>
      <c r="M2" s="3"/>
      <c r="N2" s="12" t="s">
        <v>222</v>
      </c>
      <c r="O2" s="13"/>
      <c r="P2" s="13"/>
      <c r="Q2" s="1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 t="s">
        <v>316</v>
      </c>
      <c r="BI2" s="3" t="s">
        <v>316</v>
      </c>
      <c r="BJ2" s="3"/>
      <c r="BK2" s="3"/>
      <c r="BL2" s="3"/>
      <c r="BM2" s="3"/>
      <c r="BN2" s="3"/>
      <c r="BO2" s="3"/>
      <c r="BP2" s="3"/>
      <c r="BQ2" s="3"/>
      <c r="BR2" s="3" t="s">
        <v>239</v>
      </c>
      <c r="BS2" s="3" t="s">
        <v>241</v>
      </c>
      <c r="BT2" s="3" t="s">
        <v>243</v>
      </c>
      <c r="BU2" s="3" t="s">
        <v>244</v>
      </c>
      <c r="BV2" s="3" t="s">
        <v>246</v>
      </c>
      <c r="BW2" s="3" t="s">
        <v>249</v>
      </c>
      <c r="BX2" s="3" t="s">
        <v>253</v>
      </c>
      <c r="BY2" s="3" t="s">
        <v>259</v>
      </c>
      <c r="BZ2" s="3" t="s">
        <v>260</v>
      </c>
      <c r="CA2" s="3"/>
      <c r="CB2" s="3" t="s">
        <v>370</v>
      </c>
      <c r="CC2" s="3" t="s">
        <v>372</v>
      </c>
      <c r="CD2" s="3" t="s">
        <v>373</v>
      </c>
      <c r="CE2" s="3" t="s">
        <v>77</v>
      </c>
      <c r="CF2" s="3" t="s">
        <v>375</v>
      </c>
      <c r="CG2" s="3" t="s">
        <v>109</v>
      </c>
      <c r="CH2" s="3" t="s">
        <v>377</v>
      </c>
      <c r="CI2" s="3" t="s">
        <v>202</v>
      </c>
      <c r="CJ2" s="3" t="s">
        <v>202</v>
      </c>
      <c r="CK2" s="3" t="s">
        <v>220</v>
      </c>
      <c r="CL2" s="3" t="s">
        <v>153</v>
      </c>
      <c r="CM2" s="3" t="s">
        <v>202</v>
      </c>
      <c r="CN2" s="3" t="s">
        <v>202</v>
      </c>
      <c r="CO2" s="3" t="s">
        <v>202</v>
      </c>
      <c r="CP2" s="3" t="s">
        <v>202</v>
      </c>
      <c r="CQ2" s="3" t="s">
        <v>202</v>
      </c>
      <c r="CR2" s="3" t="s">
        <v>220</v>
      </c>
      <c r="CS2" s="3" t="s">
        <v>202</v>
      </c>
      <c r="CT2" s="3" t="s">
        <v>202</v>
      </c>
      <c r="CU2" s="3" t="s">
        <v>202</v>
      </c>
      <c r="CV2" s="3" t="s">
        <v>202</v>
      </c>
      <c r="CW2" s="3" t="s">
        <v>202</v>
      </c>
      <c r="CX2" s="3" t="s">
        <v>202</v>
      </c>
      <c r="CY2" s="3" t="s">
        <v>202</v>
      </c>
      <c r="CZ2" s="3" t="str">
        <f>IF(INDEX(rngLoadCombinations,2,1)="","",INDEX(rngLoadCombinations,2,1))</f>
        <v/>
      </c>
      <c r="DA2" s="3"/>
      <c r="DB2" s="3"/>
      <c r="DC2" s="3"/>
      <c r="DD2" s="3"/>
      <c r="DE2" s="3"/>
      <c r="DF2" s="3" t="s">
        <v>202</v>
      </c>
      <c r="DG2" s="3" t="s">
        <v>379</v>
      </c>
      <c r="DH2" s="3" t="s">
        <v>382</v>
      </c>
      <c r="DI2" s="3" t="s">
        <v>381</v>
      </c>
      <c r="DJ2" s="3"/>
      <c r="DK2" s="3"/>
    </row>
    <row r="3" spans="1:115" x14ac:dyDescent="0.25">
      <c r="A3" s="14" t="s">
        <v>24</v>
      </c>
      <c r="B3" s="14" t="s">
        <v>19</v>
      </c>
      <c r="C3" s="14" t="s">
        <v>20</v>
      </c>
      <c r="D3" s="14" t="s">
        <v>21</v>
      </c>
      <c r="E3" s="3"/>
      <c r="F3" s="14" t="s">
        <v>219</v>
      </c>
      <c r="G3" s="14" t="s">
        <v>220</v>
      </c>
      <c r="H3" s="14" t="str">
        <f>"Stress, "&amp;INDEX(rngUnitSettings,MATCH("Stress",INDEX(rngUnitSettings,,1),0),2)</f>
        <v>Stress, MPa</v>
      </c>
      <c r="I3" s="3"/>
      <c r="J3" s="14" t="s">
        <v>219</v>
      </c>
      <c r="K3" s="14" t="s">
        <v>220</v>
      </c>
      <c r="L3" s="14" t="str">
        <f>"Stress, "&amp;INDEX(rngUnitSettings,MATCH("Stress",INDEX(rngUnitSettings,,1),0),2)</f>
        <v>Stress, MPa</v>
      </c>
      <c r="M3" s="3"/>
      <c r="N3" s="14" t="s">
        <v>223</v>
      </c>
      <c r="O3" s="14" t="s">
        <v>224</v>
      </c>
      <c r="P3" s="14" t="s">
        <v>225</v>
      </c>
      <c r="Q3" s="14" t="s">
        <v>226</v>
      </c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240</v>
      </c>
      <c r="BS3" s="3" t="s">
        <v>242</v>
      </c>
      <c r="BT3" s="3" t="s">
        <v>232</v>
      </c>
      <c r="BU3" s="3" t="s">
        <v>234</v>
      </c>
      <c r="BV3" s="3" t="s">
        <v>236</v>
      </c>
      <c r="BW3" s="3"/>
      <c r="BX3" s="3"/>
      <c r="BY3" s="3"/>
      <c r="BZ3" s="3"/>
      <c r="CA3" s="3"/>
      <c r="CB3" s="3"/>
      <c r="CC3" s="3" t="s">
        <v>30</v>
      </c>
      <c r="CD3" s="3"/>
      <c r="CE3" s="3"/>
      <c r="CF3" s="3"/>
      <c r="CG3" s="3"/>
      <c r="CH3" s="3" t="s">
        <v>375</v>
      </c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 t="str">
        <f>IF(INDEX(rngLoadCombinations,3,1)="","",INDEX(rngLoadCombinations,3,1))</f>
        <v/>
      </c>
      <c r="DA3" s="3"/>
      <c r="DB3" s="3"/>
      <c r="DC3" s="3"/>
      <c r="DD3" s="3"/>
      <c r="DE3" s="3"/>
      <c r="DF3" s="3"/>
      <c r="DG3" s="3"/>
      <c r="DH3" s="3" t="s">
        <v>383</v>
      </c>
      <c r="DI3" s="3" t="s">
        <v>288</v>
      </c>
      <c r="DJ3" s="3"/>
      <c r="DK3" s="3"/>
    </row>
    <row r="4" spans="1:115" x14ac:dyDescent="0.25">
      <c r="A4" s="15" t="s">
        <v>25</v>
      </c>
      <c r="B4" s="15"/>
      <c r="C4" s="15"/>
      <c r="D4" s="15"/>
      <c r="E4" s="3"/>
      <c r="F4" s="3">
        <v>1</v>
      </c>
      <c r="G4" s="3">
        <v>1E-4</v>
      </c>
      <c r="H4" s="3">
        <v>1.8</v>
      </c>
      <c r="I4" s="3"/>
      <c r="J4" s="3">
        <v>1</v>
      </c>
      <c r="K4" s="3">
        <v>-2.5000000000000001E-2</v>
      </c>
      <c r="L4" s="3">
        <v>-350</v>
      </c>
      <c r="M4" s="3"/>
      <c r="N4" s="3" t="s">
        <v>227</v>
      </c>
      <c r="O4" s="3" t="s">
        <v>228</v>
      </c>
      <c r="P4" s="16" t="s">
        <v>228</v>
      </c>
      <c r="Q4" s="3" t="s">
        <v>228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247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 t="str">
        <f>IF(INDEX(rngLoadCombinations,4,1)="","",INDEX(rngLoadCombinations,4,1))</f>
        <v/>
      </c>
      <c r="DA4" s="3"/>
      <c r="DB4" s="3"/>
      <c r="DC4" s="3"/>
      <c r="DD4" s="3"/>
      <c r="DE4" s="3"/>
      <c r="DF4" s="3"/>
      <c r="DG4" s="3"/>
      <c r="DH4" s="3" t="s">
        <v>384</v>
      </c>
      <c r="DI4" s="3"/>
      <c r="DJ4" s="3"/>
      <c r="DK4" s="3"/>
    </row>
    <row r="5" spans="1:115" x14ac:dyDescent="0.25">
      <c r="A5" s="3" t="s">
        <v>26</v>
      </c>
      <c r="B5" s="3" t="s">
        <v>27</v>
      </c>
      <c r="C5" s="3"/>
      <c r="D5" s="3" t="s">
        <v>28</v>
      </c>
      <c r="E5" s="3"/>
      <c r="F5" s="3">
        <v>2</v>
      </c>
      <c r="G5" s="3">
        <v>0</v>
      </c>
      <c r="H5" s="3">
        <v>0</v>
      </c>
      <c r="I5" s="3"/>
      <c r="J5" s="3">
        <v>2</v>
      </c>
      <c r="K5" s="3">
        <v>-0.01</v>
      </c>
      <c r="L5" s="3">
        <v>-350</v>
      </c>
      <c r="M5" s="3"/>
      <c r="N5" s="3" t="s">
        <v>229</v>
      </c>
      <c r="O5" s="3" t="s">
        <v>230</v>
      </c>
      <c r="P5" s="16" t="s">
        <v>230</v>
      </c>
      <c r="Q5" s="3" t="s">
        <v>230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248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 t="str">
        <f>IF(INDEX(rngLoadCombinations,5,1)="","",INDEX(rngLoadCombinations,5,1))</f>
        <v/>
      </c>
      <c r="DA5" s="3"/>
      <c r="DB5" s="3"/>
      <c r="DC5" s="3"/>
      <c r="DD5" s="3"/>
      <c r="DE5" s="3"/>
      <c r="DF5" s="3"/>
      <c r="DG5" s="3"/>
      <c r="DH5" s="3" t="s">
        <v>385</v>
      </c>
      <c r="DI5" s="3"/>
      <c r="DJ5" s="3"/>
      <c r="DK5" s="3"/>
    </row>
    <row r="6" spans="1:115" x14ac:dyDescent="0.25">
      <c r="A6" s="3" t="s">
        <v>29</v>
      </c>
      <c r="B6" s="3" t="s">
        <v>30</v>
      </c>
      <c r="C6" s="3"/>
      <c r="D6" s="3" t="s">
        <v>31</v>
      </c>
      <c r="E6" s="3"/>
      <c r="F6" s="3">
        <v>3</v>
      </c>
      <c r="G6" s="3">
        <v>-1.5E-3</v>
      </c>
      <c r="H6" s="3">
        <v>-15.5</v>
      </c>
      <c r="I6" s="3"/>
      <c r="J6" s="3">
        <v>3</v>
      </c>
      <c r="K6" s="3">
        <v>-1.75E-3</v>
      </c>
      <c r="L6" s="3">
        <v>-350</v>
      </c>
      <c r="M6" s="3"/>
      <c r="N6" s="3" t="s">
        <v>231</v>
      </c>
      <c r="O6" s="3" t="s">
        <v>232</v>
      </c>
      <c r="P6" s="16" t="s">
        <v>2</v>
      </c>
      <c r="Q6" s="3" t="s">
        <v>232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 t="str">
        <f>IF(INDEX(rngLoadCombinations,6,1)="","",INDEX(rngLoadCombinations,6,1))</f>
        <v/>
      </c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</row>
    <row r="7" spans="1:115" x14ac:dyDescent="0.25">
      <c r="A7" s="3" t="s">
        <v>32</v>
      </c>
      <c r="B7" s="3">
        <v>50</v>
      </c>
      <c r="C7" s="3" t="str">
        <f>INDEX(rngUnitSettings,MATCH("Length",INDEX(rngUnitSettings,,1),0),2)</f>
        <v>mm</v>
      </c>
      <c r="D7" s="3" t="s">
        <v>34</v>
      </c>
      <c r="E7" s="3"/>
      <c r="F7" s="3">
        <v>4</v>
      </c>
      <c r="G7" s="3">
        <v>-2E-3</v>
      </c>
      <c r="H7" s="3">
        <v>-15.5</v>
      </c>
      <c r="I7" s="3"/>
      <c r="J7" s="3">
        <v>4</v>
      </c>
      <c r="K7" s="3">
        <v>0</v>
      </c>
      <c r="L7" s="3">
        <v>0</v>
      </c>
      <c r="M7" s="3"/>
      <c r="N7" s="3" t="s">
        <v>233</v>
      </c>
      <c r="O7" s="3" t="s">
        <v>234</v>
      </c>
      <c r="P7" s="16" t="s">
        <v>235</v>
      </c>
      <c r="Q7" s="3" t="s">
        <v>234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 t="str">
        <f>IF(INDEX(rngLoadCombinations,7,1)="","",INDEX(rngLoadCombinations,7,1))</f>
        <v/>
      </c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</row>
    <row r="8" spans="1:115" x14ac:dyDescent="0.25">
      <c r="A8" s="3" t="s">
        <v>35</v>
      </c>
      <c r="B8" s="3">
        <v>1</v>
      </c>
      <c r="C8" s="3" t="s">
        <v>36</v>
      </c>
      <c r="D8" s="3" t="s">
        <v>37</v>
      </c>
      <c r="E8" s="3"/>
      <c r="F8" s="3">
        <v>5</v>
      </c>
      <c r="G8" s="3">
        <v>-3.5000000000000001E-3</v>
      </c>
      <c r="H8" s="3">
        <v>-15.5</v>
      </c>
      <c r="I8" s="3"/>
      <c r="J8" s="3">
        <v>5</v>
      </c>
      <c r="K8" s="3">
        <v>1.75E-3</v>
      </c>
      <c r="L8" s="3">
        <v>350</v>
      </c>
      <c r="M8" s="3"/>
      <c r="N8" s="3" t="s">
        <v>150</v>
      </c>
      <c r="O8" s="3" t="s">
        <v>236</v>
      </c>
      <c r="P8" s="16" t="s">
        <v>236</v>
      </c>
      <c r="Q8" s="3" t="s">
        <v>236</v>
      </c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 t="str">
        <f>IF(INDEX(rngLoadCombinations,8,1)="","",INDEX(rngLoadCombinations,8,1))</f>
        <v/>
      </c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</row>
    <row r="9" spans="1:115" x14ac:dyDescent="0.25">
      <c r="A9" s="3" t="s">
        <v>38</v>
      </c>
      <c r="B9" s="3">
        <v>0</v>
      </c>
      <c r="C9" s="3" t="str">
        <f>INDEX(rngUnitSettings,MATCH("Length",INDEX(rngUnitSettings,,1),0),2)</f>
        <v>mm</v>
      </c>
      <c r="D9" s="3" t="s">
        <v>39</v>
      </c>
      <c r="E9" s="3"/>
      <c r="F9" s="3"/>
      <c r="G9" s="3"/>
      <c r="H9" s="3"/>
      <c r="I9" s="3"/>
      <c r="J9" s="3">
        <v>6</v>
      </c>
      <c r="K9" s="3">
        <v>0.01</v>
      </c>
      <c r="L9" s="3">
        <v>350</v>
      </c>
      <c r="M9" s="3"/>
      <c r="N9" s="3" t="s">
        <v>237</v>
      </c>
      <c r="O9" s="3" t="s">
        <v>238</v>
      </c>
      <c r="P9" s="16" t="s">
        <v>238</v>
      </c>
      <c r="Q9" s="3" t="s">
        <v>238</v>
      </c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 t="str">
        <f>IF(INDEX(rngLoadCombinations,9,1)="","",INDEX(rngLoadCombinations,9,1))</f>
        <v/>
      </c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</row>
    <row r="10" spans="1:115" x14ac:dyDescent="0.25">
      <c r="A10" s="3" t="s">
        <v>40</v>
      </c>
      <c r="B10" s="3">
        <v>0</v>
      </c>
      <c r="C10" s="3" t="str">
        <f>INDEX(rngUnitSettings,MATCH("Length",INDEX(rngUnitSettings,,1),0),2)</f>
        <v>mm</v>
      </c>
      <c r="D10" s="3" t="s">
        <v>41</v>
      </c>
      <c r="E10" s="3"/>
      <c r="F10" s="3"/>
      <c r="G10" s="3"/>
      <c r="H10" s="3"/>
      <c r="I10" s="3"/>
      <c r="J10" s="3">
        <v>7</v>
      </c>
      <c r="K10" s="3">
        <v>2.5000000000000001E-2</v>
      </c>
      <c r="L10" s="3">
        <v>350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 t="str">
        <f>IF(INDEX(rngLoadCombinations,10,1)="","",INDEX(rngLoadCombinations,10,1))</f>
        <v/>
      </c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</row>
    <row r="11" spans="1:1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 t="str">
        <f>IF(INDEX(rngLoadCombinations,11,1)="","",INDEX(rngLoadCombinations,11,1))</f>
        <v/>
      </c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</row>
    <row r="12" spans="1:115" x14ac:dyDescent="0.25">
      <c r="A12" s="15" t="s">
        <v>42</v>
      </c>
      <c r="B12" s="15"/>
      <c r="C12" s="15"/>
      <c r="D12" s="15"/>
      <c r="E12" s="3"/>
      <c r="F12" s="3"/>
      <c r="G12" s="3"/>
      <c r="H12" s="3"/>
      <c r="I12" s="3"/>
      <c r="J12" s="3"/>
      <c r="K12" s="3"/>
      <c r="L12" s="3"/>
      <c r="M12" s="3"/>
      <c r="N12" s="12" t="s">
        <v>250</v>
      </c>
      <c r="O12" s="13"/>
      <c r="P12" s="1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 t="str">
        <f>IF(INDEX(rngLoadCombinations,12,1)="","",INDEX(rngLoadCombinations,12,1))</f>
        <v/>
      </c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</row>
    <row r="13" spans="1:115" x14ac:dyDescent="0.25">
      <c r="A13" s="3" t="s">
        <v>43</v>
      </c>
      <c r="B13" s="3" t="s">
        <v>44</v>
      </c>
      <c r="C13" s="3"/>
      <c r="D13" s="3" t="s">
        <v>45</v>
      </c>
      <c r="E13" s="3"/>
      <c r="F13" s="3"/>
      <c r="G13" s="3"/>
      <c r="H13" s="3"/>
      <c r="I13" s="3"/>
      <c r="J13" s="3"/>
      <c r="K13" s="3"/>
      <c r="L13" s="3"/>
      <c r="M13" s="3"/>
      <c r="N13" s="14" t="s">
        <v>223</v>
      </c>
      <c r="O13" s="14" t="s">
        <v>251</v>
      </c>
      <c r="P13" s="14" t="s">
        <v>225</v>
      </c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 t="str">
        <f>IF(INDEX(rngLoadCombinations,13,1)="","",INDEX(rngLoadCombinations,13,1))</f>
        <v/>
      </c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</row>
    <row r="14" spans="1:115" x14ac:dyDescent="0.25">
      <c r="A14" s="3" t="s">
        <v>46</v>
      </c>
      <c r="B14" s="3">
        <v>15.5</v>
      </c>
      <c r="C14" s="3" t="str">
        <f>INDEX(rngUnitSettings,MATCH("Stress",INDEX(rngUnitSettings,,1),0),2)</f>
        <v>MPa</v>
      </c>
      <c r="D14" s="3" t="s">
        <v>47</v>
      </c>
      <c r="E14" s="3"/>
      <c r="F14" s="3"/>
      <c r="G14" s="3"/>
      <c r="H14" s="3"/>
      <c r="I14" s="3"/>
      <c r="J14" s="3"/>
      <c r="K14" s="3"/>
      <c r="L14" s="3"/>
      <c r="M14" s="3"/>
      <c r="N14" s="3" t="s">
        <v>252</v>
      </c>
      <c r="O14" s="3" t="s">
        <v>253</v>
      </c>
      <c r="P14" s="16" t="s">
        <v>254</v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 t="str">
        <f>IF(INDEX(rngLoadCombinations,14,1)="","",INDEX(rngLoadCombinations,14,1))</f>
        <v/>
      </c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</row>
    <row r="15" spans="1:115" x14ac:dyDescent="0.25">
      <c r="A15" s="3" t="s">
        <v>48</v>
      </c>
      <c r="B15" s="3">
        <v>1.1000000000000001</v>
      </c>
      <c r="C15" s="3" t="str">
        <f>INDEX(rngUnitSettings,MATCH("Stress",INDEX(rngUnitSettings,,1),0),2)</f>
        <v>MPa</v>
      </c>
      <c r="D15" s="3" t="s">
        <v>49</v>
      </c>
      <c r="E15" s="3"/>
      <c r="F15" s="12" t="s">
        <v>296</v>
      </c>
      <c r="G15" s="13"/>
      <c r="H15" s="13"/>
      <c r="I15" s="13"/>
      <c r="J15" s="12" t="s">
        <v>317</v>
      </c>
      <c r="K15" s="13"/>
      <c r="L15" s="13"/>
      <c r="M15" s="13"/>
      <c r="N15" s="3" t="s">
        <v>255</v>
      </c>
      <c r="O15" s="3" t="s">
        <v>256</v>
      </c>
      <c r="P15" s="16" t="s">
        <v>256</v>
      </c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 t="str">
        <f>IF(INDEX(rngLoadCombinations,15,1)="","",INDEX(rngLoadCombinations,15,1))</f>
        <v/>
      </c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</row>
    <row r="16" spans="1:115" x14ac:dyDescent="0.25">
      <c r="A16" s="3" t="s">
        <v>50</v>
      </c>
      <c r="B16" s="3">
        <v>22</v>
      </c>
      <c r="C16" s="3" t="str">
        <f>INDEX(rngUnitSettings,MATCH("Stress",INDEX(rngUnitSettings,,1),0),2)</f>
        <v>MPa</v>
      </c>
      <c r="D16" s="3" t="s">
        <v>51</v>
      </c>
      <c r="E16" s="3"/>
      <c r="F16" s="14" t="s">
        <v>24</v>
      </c>
      <c r="G16" s="14" t="s">
        <v>19</v>
      </c>
      <c r="H16" s="14" t="s">
        <v>20</v>
      </c>
      <c r="I16" s="14" t="s">
        <v>21</v>
      </c>
      <c r="J16" s="14" t="s">
        <v>24</v>
      </c>
      <c r="K16" s="14" t="s">
        <v>19</v>
      </c>
      <c r="L16" s="14" t="s">
        <v>20</v>
      </c>
      <c r="M16" s="14" t="s">
        <v>21</v>
      </c>
      <c r="N16" s="3" t="s">
        <v>257</v>
      </c>
      <c r="O16" s="3" t="s">
        <v>258</v>
      </c>
      <c r="P16" s="16" t="s">
        <v>258</v>
      </c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 t="str">
        <f>IF(INDEX(rngLoadCombinations,16,1)="","",INDEX(rngLoadCombinations,16,1))</f>
        <v/>
      </c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</row>
    <row r="17" spans="1:115" x14ac:dyDescent="0.25">
      <c r="A17" s="3" t="s">
        <v>52</v>
      </c>
      <c r="B17" s="3">
        <v>1.8</v>
      </c>
      <c r="C17" s="3" t="str">
        <f>INDEX(rngUnitSettings,MATCH("Stress",INDEX(rngUnitSettings,,1),0),2)</f>
        <v>MPa</v>
      </c>
      <c r="D17" s="3" t="s">
        <v>53</v>
      </c>
      <c r="E17" s="3"/>
      <c r="F17" s="3" t="s">
        <v>297</v>
      </c>
      <c r="G17" s="3">
        <v>300</v>
      </c>
      <c r="H17" s="3" t="str">
        <f>INDEX(rngUnitSettings,MATCH("Length",INDEX(rngUnitSettings,,1),0),2)</f>
        <v>mm</v>
      </c>
      <c r="I17" s="3" t="s">
        <v>298</v>
      </c>
      <c r="J17" s="3" t="s">
        <v>318</v>
      </c>
      <c r="K17" s="3">
        <v>300</v>
      </c>
      <c r="L17" s="3" t="str">
        <f>INDEX(rngUnitSettings,MATCH("Length",INDEX(rngUnitSettings,,1),0),2)</f>
        <v>mm</v>
      </c>
      <c r="M17" s="3" t="s">
        <v>319</v>
      </c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 t="str">
        <f>IF(INDEX(rngLoadCombinations,17,1)="","",INDEX(rngLoadCombinations,17,1))</f>
        <v/>
      </c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</row>
    <row r="18" spans="1:115" x14ac:dyDescent="0.25">
      <c r="A18" s="3" t="s">
        <v>54</v>
      </c>
      <c r="B18" s="3">
        <v>32500</v>
      </c>
      <c r="C18" s="3" t="str">
        <f>INDEX(rngUnitSettings,MATCH("Stress",INDEX(rngUnitSettings,,1),0),2)</f>
        <v>MPa</v>
      </c>
      <c r="D18" s="3" t="s">
        <v>55</v>
      </c>
      <c r="E18" s="3"/>
      <c r="F18" s="3" t="s">
        <v>299</v>
      </c>
      <c r="G18" s="3">
        <v>40</v>
      </c>
      <c r="H18" s="3" t="str">
        <f>INDEX(rngUnitSettings,MATCH("Length",INDEX(rngUnitSettings,,1),0),2)</f>
        <v>mm</v>
      </c>
      <c r="I18" s="3" t="s">
        <v>300</v>
      </c>
      <c r="J18" s="3" t="s">
        <v>320</v>
      </c>
      <c r="K18" s="3">
        <v>200</v>
      </c>
      <c r="L18" s="3" t="str">
        <f>INDEX(rngUnitSettings,MATCH("Length",INDEX(rngUnitSettings,,1),0),2)</f>
        <v>mm</v>
      </c>
      <c r="M18" s="3" t="s">
        <v>321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 t="str">
        <f>IF(INDEX(rngLoadCombinations,18,1)="","",INDEX(rngLoadCombinations,18,1))</f>
        <v/>
      </c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</row>
    <row r="19" spans="1:115" x14ac:dyDescent="0.25">
      <c r="A19" s="3" t="s">
        <v>56</v>
      </c>
      <c r="B19" s="3" t="s">
        <v>57</v>
      </c>
      <c r="C19" s="3"/>
      <c r="D19" s="3" t="s">
        <v>58</v>
      </c>
      <c r="E19" s="3"/>
      <c r="F19" s="3" t="s">
        <v>301</v>
      </c>
      <c r="G19" s="3">
        <v>8</v>
      </c>
      <c r="H19" s="3" t="s">
        <v>36</v>
      </c>
      <c r="I19" s="3" t="s">
        <v>302</v>
      </c>
      <c r="J19" s="3" t="s">
        <v>322</v>
      </c>
      <c r="K19" s="3">
        <v>0</v>
      </c>
      <c r="L19" s="3" t="str">
        <f>INDEX(rngUnitSettings,MATCH("Length",INDEX(rngUnitSettings,,1),0),2)</f>
        <v>mm</v>
      </c>
      <c r="M19" s="3" t="s">
        <v>323</v>
      </c>
      <c r="N19" s="12" t="s">
        <v>261</v>
      </c>
      <c r="O19" s="13"/>
      <c r="P19" s="13"/>
      <c r="Q19" s="13"/>
      <c r="R19" s="1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 t="str">
        <f>IF(INDEX(rngLoadCombinations,19,1)="","",INDEX(rngLoadCombinations,19,1))</f>
        <v/>
      </c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</row>
    <row r="20" spans="1:115" x14ac:dyDescent="0.25">
      <c r="A20" s="3" t="s">
        <v>59</v>
      </c>
      <c r="B20" s="3">
        <v>-3.5000000000000001E-3</v>
      </c>
      <c r="C20" s="3"/>
      <c r="D20" s="3" t="s">
        <v>60</v>
      </c>
      <c r="E20" s="3"/>
      <c r="F20" s="3" t="s">
        <v>303</v>
      </c>
      <c r="G20" s="3">
        <v>20</v>
      </c>
      <c r="H20" s="3" t="str">
        <f>INDEX(rngUnitSettings,MATCH("Length",INDEX(rngUnitSettings,,1),0),2)</f>
        <v>mm</v>
      </c>
      <c r="I20" s="3" t="s">
        <v>304</v>
      </c>
      <c r="J20" s="3" t="s">
        <v>324</v>
      </c>
      <c r="K20" s="3">
        <v>0</v>
      </c>
      <c r="L20" s="3" t="str">
        <f>INDEX(rngUnitSettings,MATCH("Length",INDEX(rngUnitSettings,,1),0),2)</f>
        <v>mm</v>
      </c>
      <c r="M20" s="3" t="s">
        <v>325</v>
      </c>
      <c r="N20" s="14" t="s">
        <v>24</v>
      </c>
      <c r="O20" s="14" t="s">
        <v>262</v>
      </c>
      <c r="P20" s="14" t="s">
        <v>263</v>
      </c>
      <c r="Q20" s="14" t="s">
        <v>20</v>
      </c>
      <c r="R20" s="14" t="s">
        <v>21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 t="str">
        <f>IF(INDEX(rngLoadCombinations,20,1)="","",INDEX(rngLoadCombinations,20,1))</f>
        <v/>
      </c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</row>
    <row r="21" spans="1:115" x14ac:dyDescent="0.25">
      <c r="A21" s="3" t="s">
        <v>61</v>
      </c>
      <c r="B21" s="3">
        <v>1.4999999999999999E-4</v>
      </c>
      <c r="C21" s="3"/>
      <c r="D21" s="3" t="s">
        <v>62</v>
      </c>
      <c r="E21" s="3"/>
      <c r="F21" s="3" t="s">
        <v>305</v>
      </c>
      <c r="G21" s="3"/>
      <c r="H21" s="3"/>
      <c r="I21" s="3" t="s">
        <v>306</v>
      </c>
      <c r="J21" s="3" t="s">
        <v>326</v>
      </c>
      <c r="K21" s="3">
        <v>0</v>
      </c>
      <c r="L21" s="3" t="str">
        <f>INDEX(rngUnitSettings,MATCH("Length",INDEX(rngUnitSettings,,1),0),2)</f>
        <v>mm</v>
      </c>
      <c r="M21" s="3" t="s">
        <v>327</v>
      </c>
      <c r="N21" s="3" t="s">
        <v>264</v>
      </c>
      <c r="O21" s="3" t="s">
        <v>93</v>
      </c>
      <c r="P21" s="3" t="s">
        <v>93</v>
      </c>
      <c r="Q21" s="3" t="s">
        <v>265</v>
      </c>
      <c r="R21" s="3" t="s">
        <v>266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 t="str">
        <f>IF(INDEX(rngLoadCombinations,21,1)="","",INDEX(rngLoadCombinations,21,1))</f>
        <v/>
      </c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</row>
    <row r="22" spans="1:115" x14ac:dyDescent="0.25">
      <c r="A22" s="3"/>
      <c r="B22" s="3"/>
      <c r="C22" s="3"/>
      <c r="D22" s="3"/>
      <c r="E22" s="3"/>
      <c r="F22" s="3" t="s">
        <v>307</v>
      </c>
      <c r="G22" s="3"/>
      <c r="H22" s="3" t="str">
        <f>INDEX(rngUnitSettings,MATCH("Length",INDEX(rngUnitSettings,,1),0),2)</f>
        <v>mm</v>
      </c>
      <c r="I22" s="3" t="s">
        <v>308</v>
      </c>
      <c r="J22" s="3" t="s">
        <v>328</v>
      </c>
      <c r="K22" s="3">
        <v>0</v>
      </c>
      <c r="L22" s="3" t="str">
        <f>INDEX(rngUnitSettings,MATCH("Length",INDEX(rngUnitSettings,,1),0),2)</f>
        <v>mm</v>
      </c>
      <c r="M22" s="3" t="s">
        <v>329</v>
      </c>
      <c r="N22" s="3" t="s">
        <v>267</v>
      </c>
      <c r="O22" s="3" t="s">
        <v>268</v>
      </c>
      <c r="P22" s="3" t="s">
        <v>268</v>
      </c>
      <c r="Q22" s="3"/>
      <c r="R22" s="3" t="s">
        <v>269</v>
      </c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</row>
    <row r="23" spans="1:115" x14ac:dyDescent="0.25">
      <c r="A23" s="15" t="s">
        <v>63</v>
      </c>
      <c r="B23" s="15"/>
      <c r="C23" s="15"/>
      <c r="D23" s="15"/>
      <c r="E23" s="3"/>
      <c r="F23" s="3" t="s">
        <v>309</v>
      </c>
      <c r="G23" s="3"/>
      <c r="H23" s="3" t="str">
        <f>INDEX(rngUnitSettings,MATCH("Length",INDEX(rngUnitSettings,,1),0),2)</f>
        <v>mm</v>
      </c>
      <c r="I23" s="3" t="s">
        <v>310</v>
      </c>
      <c r="J23" s="3"/>
      <c r="K23" s="3"/>
      <c r="L23" s="3"/>
      <c r="M23" s="3"/>
      <c r="N23" s="3" t="s">
        <v>270</v>
      </c>
      <c r="O23" s="3">
        <v>10</v>
      </c>
      <c r="P23" s="3">
        <v>42</v>
      </c>
      <c r="Q23" s="3" t="s">
        <v>33</v>
      </c>
      <c r="R23" s="3" t="s">
        <v>271</v>
      </c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</row>
    <row r="24" spans="1:115" x14ac:dyDescent="0.25">
      <c r="A24" s="3" t="s">
        <v>64</v>
      </c>
      <c r="B24" s="3" t="s">
        <v>65</v>
      </c>
      <c r="C24" s="3"/>
      <c r="D24" s="3" t="s">
        <v>66</v>
      </c>
      <c r="E24" s="3"/>
      <c r="F24" s="3" t="s">
        <v>311</v>
      </c>
      <c r="G24" s="3" t="s">
        <v>312</v>
      </c>
      <c r="H24" s="3"/>
      <c r="I24" s="3" t="s">
        <v>313</v>
      </c>
      <c r="J24" s="3"/>
      <c r="K24" s="3"/>
      <c r="L24" s="3"/>
      <c r="M24" s="3"/>
      <c r="N24" s="3" t="s">
        <v>272</v>
      </c>
      <c r="O24" s="3" t="s">
        <v>93</v>
      </c>
      <c r="P24" s="3" t="s">
        <v>273</v>
      </c>
      <c r="Q24" s="3" t="s">
        <v>265</v>
      </c>
      <c r="R24" s="3" t="s">
        <v>274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</row>
    <row r="25" spans="1:115" x14ac:dyDescent="0.25">
      <c r="A25" s="3" t="s">
        <v>67</v>
      </c>
      <c r="B25" s="3">
        <v>350</v>
      </c>
      <c r="C25" s="3" t="str">
        <f>INDEX(rngUnitSettings,MATCH("Stress",INDEX(rngUnitSettings,,1),0),2)</f>
        <v>MPa</v>
      </c>
      <c r="D25" s="3" t="s">
        <v>68</v>
      </c>
      <c r="E25" s="3"/>
      <c r="F25" s="3" t="s">
        <v>314</v>
      </c>
      <c r="G25" s="3" t="s">
        <v>312</v>
      </c>
      <c r="H25" s="3"/>
      <c r="I25" s="3" t="s">
        <v>315</v>
      </c>
      <c r="J25" s="3"/>
      <c r="K25" s="3"/>
      <c r="L25" s="3"/>
      <c r="M25" s="3"/>
      <c r="N25" s="3" t="s">
        <v>275</v>
      </c>
      <c r="O25" s="3">
        <v>1.35</v>
      </c>
      <c r="P25" s="3">
        <v>1.75</v>
      </c>
      <c r="Q25" s="3" t="s">
        <v>276</v>
      </c>
      <c r="R25" s="3" t="s">
        <v>277</v>
      </c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</row>
    <row r="26" spans="1:115" x14ac:dyDescent="0.25">
      <c r="A26" s="3" t="s">
        <v>69</v>
      </c>
      <c r="B26" s="3">
        <v>350</v>
      </c>
      <c r="C26" s="3" t="str">
        <f>INDEX(rngUnitSettings,MATCH("Stress",INDEX(rngUnitSettings,,1),0),2)</f>
        <v>MPa</v>
      </c>
      <c r="D26" s="3" t="s">
        <v>70</v>
      </c>
      <c r="E26" s="3"/>
      <c r="F26" s="3"/>
      <c r="G26" s="3"/>
      <c r="H26" s="3"/>
      <c r="I26" s="3"/>
      <c r="J26" s="3"/>
      <c r="K26" s="3"/>
      <c r="L26" s="3"/>
      <c r="M26" s="3"/>
      <c r="N26" s="3" t="s">
        <v>278</v>
      </c>
      <c r="O26" s="3" t="s">
        <v>273</v>
      </c>
      <c r="P26" s="3">
        <v>0.85</v>
      </c>
      <c r="Q26" s="3" t="s">
        <v>276</v>
      </c>
      <c r="R26" s="3" t="s">
        <v>279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</row>
    <row r="27" spans="1:115" x14ac:dyDescent="0.25">
      <c r="A27" s="3" t="s">
        <v>71</v>
      </c>
      <c r="B27" s="3">
        <v>200000</v>
      </c>
      <c r="C27" s="3" t="str">
        <f>INDEX(rngUnitSettings,MATCH("Stress",INDEX(rngUnitSettings,,1),0),2)</f>
        <v>MPa</v>
      </c>
      <c r="D27" s="3" t="s">
        <v>72</v>
      </c>
      <c r="E27" s="3"/>
      <c r="F27" s="3"/>
      <c r="G27" s="3"/>
      <c r="H27" s="3"/>
      <c r="I27" s="3"/>
      <c r="J27" s="3"/>
      <c r="K27" s="3"/>
      <c r="L27" s="3"/>
      <c r="M27" s="3"/>
      <c r="N27" s="3" t="s">
        <v>280</v>
      </c>
      <c r="O27" s="3">
        <v>9</v>
      </c>
      <c r="P27" s="3">
        <v>8.5</v>
      </c>
      <c r="Q27" s="3" t="s">
        <v>33</v>
      </c>
      <c r="R27" s="3" t="s">
        <v>281</v>
      </c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</row>
    <row r="28" spans="1:115" x14ac:dyDescent="0.25">
      <c r="A28" s="3" t="s">
        <v>73</v>
      </c>
      <c r="B28" s="3">
        <v>2.5000000000000001E-2</v>
      </c>
      <c r="C28" s="3"/>
      <c r="D28" s="3" t="s">
        <v>74</v>
      </c>
      <c r="E28" s="3"/>
      <c r="F28" s="3"/>
      <c r="G28" s="3"/>
      <c r="H28" s="3"/>
      <c r="I28" s="3"/>
      <c r="J28" s="3"/>
      <c r="K28" s="3"/>
      <c r="L28" s="3"/>
      <c r="M28" s="3"/>
      <c r="N28" s="3" t="s">
        <v>282</v>
      </c>
      <c r="O28" s="3">
        <v>7</v>
      </c>
      <c r="P28" s="3">
        <v>7</v>
      </c>
      <c r="Q28" s="3" t="s">
        <v>33</v>
      </c>
      <c r="R28" s="3" t="s">
        <v>283</v>
      </c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</row>
    <row r="29" spans="1:115" x14ac:dyDescent="0.25">
      <c r="A29" s="3"/>
      <c r="B29" s="3"/>
      <c r="C29" s="3"/>
      <c r="D29" s="3"/>
      <c r="E29" s="3"/>
      <c r="F29" s="12" t="s">
        <v>330</v>
      </c>
      <c r="G29" s="13"/>
      <c r="H29" s="13"/>
      <c r="I29" s="13"/>
      <c r="J29" s="13"/>
      <c r="K29" s="13"/>
      <c r="L29" s="13"/>
      <c r="M29" s="3"/>
      <c r="N29" s="3" t="s">
        <v>284</v>
      </c>
      <c r="O29" s="3" t="s">
        <v>273</v>
      </c>
      <c r="P29" s="3" t="s">
        <v>285</v>
      </c>
      <c r="Q29" s="3"/>
      <c r="R29" s="3" t="s">
        <v>286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</row>
    <row r="30" spans="1:115" x14ac:dyDescent="0.25">
      <c r="A30" s="15" t="s">
        <v>75</v>
      </c>
      <c r="B30" s="15"/>
      <c r="C30" s="15"/>
      <c r="D30" s="15"/>
      <c r="E30" s="3"/>
      <c r="F30" s="14" t="s">
        <v>24</v>
      </c>
      <c r="G30" s="14" t="s">
        <v>331</v>
      </c>
      <c r="H30" s="14" t="s">
        <v>332</v>
      </c>
      <c r="I30" s="14" t="s">
        <v>333</v>
      </c>
      <c r="J30" s="14" t="s">
        <v>334</v>
      </c>
      <c r="K30" s="14" t="s">
        <v>20</v>
      </c>
      <c r="L30" s="14" t="s">
        <v>21</v>
      </c>
      <c r="M30" s="3"/>
      <c r="N30" s="3" t="s">
        <v>287</v>
      </c>
      <c r="O30" s="3" t="s">
        <v>273</v>
      </c>
      <c r="P30" s="3" t="s">
        <v>288</v>
      </c>
      <c r="Q30" s="3"/>
      <c r="R30" s="3" t="s">
        <v>289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</row>
    <row r="31" spans="1:115" x14ac:dyDescent="0.25">
      <c r="A31" s="3" t="s">
        <v>76</v>
      </c>
      <c r="B31" s="3" t="s">
        <v>77</v>
      </c>
      <c r="C31" s="3"/>
      <c r="D31" s="3" t="s">
        <v>78</v>
      </c>
      <c r="E31" s="3"/>
      <c r="F31" s="3" t="s">
        <v>335</v>
      </c>
      <c r="G31" s="3">
        <v>550</v>
      </c>
      <c r="H31" s="3">
        <v>250</v>
      </c>
      <c r="I31" s="3">
        <v>250</v>
      </c>
      <c r="J31" s="3">
        <v>600</v>
      </c>
      <c r="K31" s="3" t="str">
        <f>INDEX(rngUnitSettings,MATCH("Length",INDEX(rngUnitSettings,,1),0),2)</f>
        <v>mm</v>
      </c>
      <c r="L31" s="3" t="s">
        <v>336</v>
      </c>
      <c r="M31" s="3"/>
      <c r="N31" s="3" t="s">
        <v>290</v>
      </c>
      <c r="O31" s="3" t="s">
        <v>291</v>
      </c>
      <c r="P31" s="3" t="s">
        <v>291</v>
      </c>
      <c r="Q31" s="3" t="s">
        <v>292</v>
      </c>
      <c r="R31" s="3" t="s">
        <v>293</v>
      </c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</row>
    <row r="32" spans="1:115" x14ac:dyDescent="0.25">
      <c r="A32" s="3" t="s">
        <v>79</v>
      </c>
      <c r="B32" s="3" t="s">
        <v>80</v>
      </c>
      <c r="C32" s="3"/>
      <c r="D32" s="3" t="s">
        <v>81</v>
      </c>
      <c r="E32" s="3"/>
      <c r="F32" s="3" t="s">
        <v>337</v>
      </c>
      <c r="G32" s="3">
        <v>40</v>
      </c>
      <c r="H32" s="3">
        <v>40</v>
      </c>
      <c r="I32" s="3">
        <v>40</v>
      </c>
      <c r="J32" s="3">
        <v>40</v>
      </c>
      <c r="K32" s="3" t="str">
        <f>INDEX(rngUnitSettings,MATCH("Length",INDEX(rngUnitSettings,,1),0),2)</f>
        <v>mm</v>
      </c>
      <c r="L32" s="3" t="s">
        <v>338</v>
      </c>
      <c r="M32" s="3"/>
      <c r="N32" s="3" t="s">
        <v>294</v>
      </c>
      <c r="O32" s="3" t="s">
        <v>273</v>
      </c>
      <c r="P32" s="17">
        <v>140140140</v>
      </c>
      <c r="Q32" s="3" t="s">
        <v>292</v>
      </c>
      <c r="R32" s="3" t="s">
        <v>295</v>
      </c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</row>
    <row r="33" spans="1:115" x14ac:dyDescent="0.25">
      <c r="A33" s="3" t="s">
        <v>82</v>
      </c>
      <c r="B33" s="3">
        <v>40</v>
      </c>
      <c r="C33" s="3" t="s">
        <v>36</v>
      </c>
      <c r="D33" s="3" t="s">
        <v>83</v>
      </c>
      <c r="E33" s="3"/>
      <c r="F33" s="3" t="s">
        <v>339</v>
      </c>
      <c r="G33" s="3">
        <v>40</v>
      </c>
      <c r="H33" s="3">
        <v>40</v>
      </c>
      <c r="I33" s="3">
        <v>40</v>
      </c>
      <c r="J33" s="3">
        <v>40</v>
      </c>
      <c r="K33" s="3" t="str">
        <f>INDEX(rngUnitSettings,MATCH("Length",INDEX(rngUnitSettings,,1),0),2)</f>
        <v>mm</v>
      </c>
      <c r="L33" s="3" t="s">
        <v>340</v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</row>
    <row r="34" spans="1:115" x14ac:dyDescent="0.25">
      <c r="A34" s="3" t="s">
        <v>84</v>
      </c>
      <c r="B34" s="3">
        <v>1</v>
      </c>
      <c r="C34" s="3" t="s">
        <v>36</v>
      </c>
      <c r="D34" s="3" t="s">
        <v>85</v>
      </c>
      <c r="E34" s="3"/>
      <c r="F34" s="3" t="s">
        <v>341</v>
      </c>
      <c r="G34" s="3">
        <v>32</v>
      </c>
      <c r="H34" s="3">
        <v>32</v>
      </c>
      <c r="I34" s="3">
        <v>32</v>
      </c>
      <c r="J34" s="3">
        <v>32</v>
      </c>
      <c r="K34" s="3" t="str">
        <f>INDEX(rngUnitSettings,MATCH("Length",INDEX(rngUnitSettings,,1),0),2)</f>
        <v>mm</v>
      </c>
      <c r="L34" s="3" t="s">
        <v>342</v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</row>
    <row r="35" spans="1:115" x14ac:dyDescent="0.25">
      <c r="A35" s="3" t="s">
        <v>86</v>
      </c>
      <c r="B35" s="3">
        <v>1</v>
      </c>
      <c r="C35" s="3" t="str">
        <f>INDEX(rngUnitSettings,MATCH("Force",INDEX(rngUnitSettings,,1),0),2)</f>
        <v>tf</v>
      </c>
      <c r="D35" s="3" t="s">
        <v>87</v>
      </c>
      <c r="E35" s="3"/>
      <c r="F35" s="3" t="s">
        <v>343</v>
      </c>
      <c r="G35" s="3">
        <v>32</v>
      </c>
      <c r="H35" s="3">
        <v>32</v>
      </c>
      <c r="I35" s="3">
        <v>32</v>
      </c>
      <c r="J35" s="3">
        <v>32</v>
      </c>
      <c r="K35" s="3" t="str">
        <f>INDEX(rngUnitSettings,MATCH("Length",INDEX(rngUnitSettings,,1),0),2)</f>
        <v>mm</v>
      </c>
      <c r="L35" s="3" t="s">
        <v>344</v>
      </c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</row>
    <row r="36" spans="1:115" x14ac:dyDescent="0.25">
      <c r="A36" s="3" t="s">
        <v>88</v>
      </c>
      <c r="B36" s="3">
        <v>1000</v>
      </c>
      <c r="C36" s="3" t="str">
        <f>INDEX(rngUnitSettings,MATCH("Moment",INDEX(rngUnitSettings,,1),0),2)</f>
        <v>tf*m</v>
      </c>
      <c r="D36" s="3" t="s">
        <v>89</v>
      </c>
      <c r="E36" s="3"/>
      <c r="F36" s="3" t="s">
        <v>345</v>
      </c>
      <c r="G36" s="3">
        <v>5</v>
      </c>
      <c r="H36" s="3">
        <v>2</v>
      </c>
      <c r="I36" s="3">
        <v>2</v>
      </c>
      <c r="J36" s="3">
        <v>5</v>
      </c>
      <c r="K36" s="3" t="s">
        <v>36</v>
      </c>
      <c r="L36" s="3" t="s">
        <v>346</v>
      </c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</row>
    <row r="37" spans="1:115" x14ac:dyDescent="0.25">
      <c r="A37" s="3" t="s">
        <v>90</v>
      </c>
      <c r="B37" s="3">
        <v>1000</v>
      </c>
      <c r="C37" s="3" t="str">
        <f>INDEX(rngUnitSettings,MATCH("Moment",INDEX(rngUnitSettings,,1),0),2)</f>
        <v>tf*m</v>
      </c>
      <c r="D37" s="3" t="s">
        <v>91</v>
      </c>
      <c r="E37" s="3"/>
      <c r="F37" s="3" t="s">
        <v>347</v>
      </c>
      <c r="G37" s="3">
        <v>5</v>
      </c>
      <c r="H37" s="3">
        <v>2</v>
      </c>
      <c r="I37" s="3">
        <v>2</v>
      </c>
      <c r="J37" s="3">
        <v>5</v>
      </c>
      <c r="K37" s="3" t="s">
        <v>36</v>
      </c>
      <c r="L37" s="3" t="s">
        <v>348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</row>
    <row r="38" spans="1:115" x14ac:dyDescent="0.25">
      <c r="A38" s="3" t="s">
        <v>92</v>
      </c>
      <c r="B38" s="3" t="s">
        <v>93</v>
      </c>
      <c r="C38" s="3"/>
      <c r="D38" s="3" t="s">
        <v>94</v>
      </c>
      <c r="E38" s="3"/>
      <c r="F38" s="3" t="s">
        <v>349</v>
      </c>
      <c r="G38" s="3">
        <v>80</v>
      </c>
      <c r="H38" s="3">
        <v>80</v>
      </c>
      <c r="I38" s="3">
        <v>80</v>
      </c>
      <c r="J38" s="3">
        <v>80</v>
      </c>
      <c r="K38" s="3" t="str">
        <f>INDEX(rngUnitSettings,MATCH("Length",INDEX(rngUnitSettings,,1),0),2)</f>
        <v>mm</v>
      </c>
      <c r="L38" s="3" t="s">
        <v>350</v>
      </c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</row>
    <row r="39" spans="1:115" x14ac:dyDescent="0.25">
      <c r="A39" s="3" t="s">
        <v>95</v>
      </c>
      <c r="B39" s="3">
        <v>1</v>
      </c>
      <c r="C39" s="3"/>
      <c r="D39" s="3" t="s">
        <v>96</v>
      </c>
      <c r="E39" s="3"/>
      <c r="F39" s="3" t="s">
        <v>351</v>
      </c>
      <c r="G39" s="3">
        <v>80</v>
      </c>
      <c r="H39" s="3">
        <v>80</v>
      </c>
      <c r="I39" s="3">
        <v>80</v>
      </c>
      <c r="J39" s="3">
        <v>80</v>
      </c>
      <c r="K39" s="3" t="str">
        <f>INDEX(rngUnitSettings,MATCH("Length",INDEX(rngUnitSettings,,1),0),2)</f>
        <v>mm</v>
      </c>
      <c r="L39" s="3" t="s">
        <v>352</v>
      </c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</row>
    <row r="40" spans="1:115" x14ac:dyDescent="0.25">
      <c r="A40" s="3" t="s">
        <v>97</v>
      </c>
      <c r="B40" s="3">
        <v>3.125E-2</v>
      </c>
      <c r="C40" s="3"/>
      <c r="D40" s="3" t="s">
        <v>98</v>
      </c>
      <c r="E40" s="3"/>
      <c r="F40" s="3" t="s">
        <v>353</v>
      </c>
      <c r="G40" s="3">
        <v>80</v>
      </c>
      <c r="H40" s="3">
        <v>80</v>
      </c>
      <c r="I40" s="3">
        <v>80</v>
      </c>
      <c r="J40" s="3">
        <v>80</v>
      </c>
      <c r="K40" s="3" t="str">
        <f>INDEX(rngUnitSettings,MATCH("Length",INDEX(rngUnitSettings,,1),0),2)</f>
        <v>mm</v>
      </c>
      <c r="L40" s="3" t="s">
        <v>354</v>
      </c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</row>
    <row r="41" spans="1:115" x14ac:dyDescent="0.25">
      <c r="A41" s="3" t="s">
        <v>99</v>
      </c>
      <c r="B41" s="3">
        <v>5.0000000000000001E-4</v>
      </c>
      <c r="C41" s="3"/>
      <c r="D41" s="3" t="s">
        <v>100</v>
      </c>
      <c r="E41" s="3"/>
      <c r="F41" s="3" t="s">
        <v>355</v>
      </c>
      <c r="G41" s="3">
        <v>80</v>
      </c>
      <c r="H41" s="3">
        <v>80</v>
      </c>
      <c r="I41" s="3">
        <v>80</v>
      </c>
      <c r="J41" s="3">
        <v>80</v>
      </c>
      <c r="K41" s="3" t="str">
        <f>INDEX(rngUnitSettings,MATCH("Length",INDEX(rngUnitSettings,,1),0),2)</f>
        <v>mm</v>
      </c>
      <c r="L41" s="3" t="s">
        <v>356</v>
      </c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</row>
    <row r="42" spans="1:115" x14ac:dyDescent="0.25">
      <c r="A42" s="3" t="s">
        <v>101</v>
      </c>
      <c r="B42" s="3">
        <v>1.0000000000000001E-5</v>
      </c>
      <c r="C42" s="3" t="str">
        <f>INDEX(rngUnitSettings,MATCH("Curvature",INDEX(rngUnitSettings,,1),0),2)</f>
        <v>1/mm</v>
      </c>
      <c r="D42" s="3" t="s">
        <v>102</v>
      </c>
      <c r="E42" s="3"/>
      <c r="F42" s="3" t="s">
        <v>305</v>
      </c>
      <c r="G42" s="3"/>
      <c r="H42" s="3"/>
      <c r="I42" s="3"/>
      <c r="J42" s="3"/>
      <c r="K42" s="3"/>
      <c r="L42" s="3" t="s">
        <v>357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</row>
    <row r="43" spans="1:115" x14ac:dyDescent="0.25">
      <c r="A43" s="3" t="s">
        <v>103</v>
      </c>
      <c r="B43" s="3">
        <v>2</v>
      </c>
      <c r="C43" s="3" t="s">
        <v>36</v>
      </c>
      <c r="D43" s="3" t="s">
        <v>104</v>
      </c>
      <c r="E43" s="3"/>
      <c r="F43" s="3" t="s">
        <v>358</v>
      </c>
      <c r="G43" s="3"/>
      <c r="H43" s="3"/>
      <c r="I43" s="3"/>
      <c r="J43" s="3"/>
      <c r="K43" s="3" t="str">
        <f>INDEX(rngUnitSettings,MATCH("Length",INDEX(rngUnitSettings,,1),0),2)</f>
        <v>mm</v>
      </c>
      <c r="L43" s="3" t="s">
        <v>359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</row>
    <row r="44" spans="1:115" x14ac:dyDescent="0.25">
      <c r="A44" s="3" t="s">
        <v>105</v>
      </c>
      <c r="B44" s="3">
        <v>9.9999999999999998E-13</v>
      </c>
      <c r="C44" s="3"/>
      <c r="D44" s="3" t="s">
        <v>106</v>
      </c>
      <c r="E44" s="3"/>
      <c r="F44" s="3" t="s">
        <v>360</v>
      </c>
      <c r="G44" s="3"/>
      <c r="H44" s="3"/>
      <c r="I44" s="3"/>
      <c r="J44" s="3"/>
      <c r="K44" s="3" t="str">
        <f>INDEX(rngUnitSettings,MATCH("Length",INDEX(rngUnitSettings,,1),0),2)</f>
        <v>mm</v>
      </c>
      <c r="L44" s="3" t="s">
        <v>361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</row>
    <row r="45" spans="1:115" x14ac:dyDescent="0.25">
      <c r="A45" s="3"/>
      <c r="B45" s="3"/>
      <c r="C45" s="3"/>
      <c r="D45" s="3"/>
      <c r="E45" s="3"/>
      <c r="F45" s="3" t="s">
        <v>362</v>
      </c>
      <c r="G45" s="3"/>
      <c r="H45" s="3"/>
      <c r="I45" s="3"/>
      <c r="J45" s="3"/>
      <c r="K45" s="3" t="str">
        <f>INDEX(rngUnitSettings,MATCH("Length",INDEX(rngUnitSettings,,1),0),2)</f>
        <v>mm</v>
      </c>
      <c r="L45" s="3" t="s">
        <v>363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</row>
    <row r="46" spans="1:115" x14ac:dyDescent="0.25">
      <c r="A46" s="15" t="s">
        <v>107</v>
      </c>
      <c r="B46" s="15"/>
      <c r="C46" s="15"/>
      <c r="D46" s="15"/>
      <c r="E46" s="3"/>
      <c r="F46" s="3" t="s">
        <v>364</v>
      </c>
      <c r="G46" s="3"/>
      <c r="H46" s="3"/>
      <c r="I46" s="3"/>
      <c r="J46" s="3"/>
      <c r="K46" s="3" t="str">
        <f>INDEX(rngUnitSettings,MATCH("Length",INDEX(rngUnitSettings,,1),0),2)</f>
        <v>mm</v>
      </c>
      <c r="L46" s="3" t="s">
        <v>365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</row>
    <row r="47" spans="1:115" x14ac:dyDescent="0.25">
      <c r="A47" s="3" t="s">
        <v>108</v>
      </c>
      <c r="B47" s="3" t="s">
        <v>109</v>
      </c>
      <c r="C47" s="3"/>
      <c r="D47" s="3" t="s">
        <v>110</v>
      </c>
      <c r="E47" s="3"/>
      <c r="F47" s="3" t="s">
        <v>366</v>
      </c>
      <c r="G47" s="3" t="s">
        <v>312</v>
      </c>
      <c r="H47" s="3" t="s">
        <v>312</v>
      </c>
      <c r="I47" s="3" t="s">
        <v>312</v>
      </c>
      <c r="J47" s="3" t="s">
        <v>312</v>
      </c>
      <c r="K47" s="3"/>
      <c r="L47" s="3" t="s">
        <v>367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</row>
    <row r="48" spans="1:115" x14ac:dyDescent="0.25">
      <c r="A48" s="3" t="s">
        <v>111</v>
      </c>
      <c r="B48" s="3" t="s">
        <v>112</v>
      </c>
      <c r="C48" s="3"/>
      <c r="D48" s="3" t="s">
        <v>113</v>
      </c>
      <c r="E48" s="3"/>
      <c r="F48" s="3" t="s">
        <v>368</v>
      </c>
      <c r="G48" s="3" t="s">
        <v>312</v>
      </c>
      <c r="H48" s="3" t="s">
        <v>312</v>
      </c>
      <c r="I48" s="3" t="s">
        <v>312</v>
      </c>
      <c r="J48" s="3" t="s">
        <v>312</v>
      </c>
      <c r="K48" s="3"/>
      <c r="L48" s="3" t="s">
        <v>369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</row>
    <row r="49" spans="1:115" x14ac:dyDescent="0.25">
      <c r="A49" s="3" t="s">
        <v>114</v>
      </c>
      <c r="B49" s="3">
        <v>1</v>
      </c>
      <c r="C49" s="3"/>
      <c r="D49" s="3" t="s">
        <v>115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</row>
    <row r="50" spans="1:115" x14ac:dyDescent="0.25">
      <c r="A50" s="3" t="s">
        <v>116</v>
      </c>
      <c r="B50" s="3">
        <v>0.01</v>
      </c>
      <c r="C50" s="3"/>
      <c r="D50" s="3" t="s">
        <v>117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</row>
    <row r="51" spans="1:115" x14ac:dyDescent="0.25">
      <c r="A51" s="3" t="s">
        <v>118</v>
      </c>
      <c r="B51" s="3">
        <v>0</v>
      </c>
      <c r="C51" s="3" t="s">
        <v>36</v>
      </c>
      <c r="D51" s="3" t="s">
        <v>119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</row>
    <row r="52" spans="1:115" x14ac:dyDescent="0.25">
      <c r="A52" s="3" t="s">
        <v>120</v>
      </c>
      <c r="B52" s="3">
        <v>1</v>
      </c>
      <c r="C52" s="3" t="s">
        <v>36</v>
      </c>
      <c r="D52" s="3" t="s">
        <v>121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</row>
    <row r="53" spans="1:115" x14ac:dyDescent="0.25">
      <c r="A53" s="3" t="s">
        <v>122</v>
      </c>
      <c r="B53" s="3">
        <v>1.0000000000000001E-5</v>
      </c>
      <c r="C53" s="3"/>
      <c r="D53" s="3" t="s">
        <v>123</v>
      </c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</row>
    <row r="54" spans="1:115" x14ac:dyDescent="0.25">
      <c r="A54" s="3" t="s">
        <v>124</v>
      </c>
      <c r="B54" s="3">
        <v>64</v>
      </c>
      <c r="C54" s="3"/>
      <c r="D54" s="3" t="s">
        <v>125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</row>
    <row r="55" spans="1:115" x14ac:dyDescent="0.25">
      <c r="A55" s="3" t="s">
        <v>126</v>
      </c>
      <c r="B55" s="3">
        <v>60</v>
      </c>
      <c r="C55" s="3" t="s">
        <v>36</v>
      </c>
      <c r="D55" s="3" t="s">
        <v>127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</row>
    <row r="56" spans="1:115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</row>
    <row r="57" spans="1:115" x14ac:dyDescent="0.25">
      <c r="A57" s="15" t="s">
        <v>128</v>
      </c>
      <c r="B57" s="15"/>
      <c r="C57" s="15"/>
      <c r="D57" s="15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</row>
    <row r="58" spans="1:115" x14ac:dyDescent="0.25">
      <c r="A58" s="3" t="s">
        <v>129</v>
      </c>
      <c r="B58" s="3" t="s">
        <v>93</v>
      </c>
      <c r="C58" s="3"/>
      <c r="D58" s="3" t="s">
        <v>130</v>
      </c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</row>
    <row r="59" spans="1:115" x14ac:dyDescent="0.25">
      <c r="A59" s="3" t="s">
        <v>131</v>
      </c>
      <c r="B59" s="3">
        <v>0.3</v>
      </c>
      <c r="C59" s="3" t="str">
        <f>INDEX(rngUnitSettings,MATCH("Length",INDEX(rngUnitSettings,,1),0),2)</f>
        <v>mm</v>
      </c>
      <c r="D59" s="3" t="s">
        <v>132</v>
      </c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</row>
    <row r="60" spans="1:115" x14ac:dyDescent="0.25">
      <c r="A60" s="3" t="s">
        <v>133</v>
      </c>
      <c r="B60" s="3">
        <v>200</v>
      </c>
      <c r="C60" s="3" t="str">
        <f>INDEX(rngUnitSettings,MATCH("Length",INDEX(rngUnitSettings,,1),0),2)</f>
        <v>mm</v>
      </c>
      <c r="D60" s="3" t="s">
        <v>134</v>
      </c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</row>
    <row r="61" spans="1:115" x14ac:dyDescent="0.25">
      <c r="A61" s="3" t="s">
        <v>135</v>
      </c>
      <c r="B61" s="3">
        <v>1</v>
      </c>
      <c r="C61" s="3"/>
      <c r="D61" s="3" t="s">
        <v>136</v>
      </c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</row>
    <row r="62" spans="1:115" x14ac:dyDescent="0.25">
      <c r="A62" s="3" t="s">
        <v>137</v>
      </c>
      <c r="B62" s="3">
        <v>1</v>
      </c>
      <c r="C62" s="3"/>
      <c r="D62" s="3" t="s">
        <v>138</v>
      </c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</row>
    <row r="63" spans="1:115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</row>
    <row r="64" spans="1:115" x14ac:dyDescent="0.25">
      <c r="A64" s="15" t="s">
        <v>139</v>
      </c>
      <c r="B64" s="15"/>
      <c r="C64" s="15"/>
      <c r="D64" s="15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</row>
    <row r="65" spans="1:115" x14ac:dyDescent="0.25">
      <c r="A65" s="3" t="s">
        <v>140</v>
      </c>
      <c r="B65" s="3" t="s">
        <v>141</v>
      </c>
      <c r="C65" s="3"/>
      <c r="D65" s="3" t="s">
        <v>142</v>
      </c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</row>
    <row r="66" spans="1:115" x14ac:dyDescent="0.25">
      <c r="A66" s="3" t="s">
        <v>143</v>
      </c>
      <c r="B66" s="3" t="s">
        <v>93</v>
      </c>
      <c r="C66" s="3"/>
      <c r="D66" s="3" t="s">
        <v>144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</row>
    <row r="67" spans="1:115" x14ac:dyDescent="0.25">
      <c r="A67" s="3" t="s">
        <v>145</v>
      </c>
      <c r="B67" s="3" t="s">
        <v>93</v>
      </c>
      <c r="C67" s="3"/>
      <c r="D67" s="3" t="s">
        <v>146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</row>
    <row r="68" spans="1:115" x14ac:dyDescent="0.25">
      <c r="A68" s="3" t="s">
        <v>147</v>
      </c>
      <c r="B68" s="3" t="s">
        <v>93</v>
      </c>
      <c r="C68" s="3"/>
      <c r="D68" s="3" t="s">
        <v>148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</row>
    <row r="69" spans="1:115" x14ac:dyDescent="0.25">
      <c r="A69" s="3" t="s">
        <v>149</v>
      </c>
      <c r="B69" s="3" t="s">
        <v>150</v>
      </c>
      <c r="C69" s="3"/>
      <c r="D69" s="3" t="s">
        <v>151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</row>
    <row r="70" spans="1:115" x14ac:dyDescent="0.25">
      <c r="A70" s="3" t="s">
        <v>152</v>
      </c>
      <c r="B70" s="3" t="s">
        <v>153</v>
      </c>
      <c r="C70" s="3"/>
      <c r="D70" s="3" t="s">
        <v>154</v>
      </c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</row>
    <row r="71" spans="1:115" x14ac:dyDescent="0.25">
      <c r="A71" s="3" t="s">
        <v>155</v>
      </c>
      <c r="B71" s="3" t="s">
        <v>156</v>
      </c>
      <c r="C71" s="3"/>
      <c r="D71" s="3" t="s">
        <v>157</v>
      </c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</row>
    <row r="72" spans="1:115" x14ac:dyDescent="0.25">
      <c r="A72" s="3" t="s">
        <v>158</v>
      </c>
      <c r="B72" s="3" t="s">
        <v>159</v>
      </c>
      <c r="C72" s="3"/>
      <c r="D72" s="3" t="s">
        <v>160</v>
      </c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</row>
    <row r="73" spans="1:115" x14ac:dyDescent="0.25">
      <c r="A73" s="3" t="s">
        <v>161</v>
      </c>
      <c r="B73" s="3" t="s">
        <v>162</v>
      </c>
      <c r="C73" s="3"/>
      <c r="D73" s="3" t="s">
        <v>163</v>
      </c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</row>
    <row r="74" spans="1:115" x14ac:dyDescent="0.25">
      <c r="A74" s="3" t="s">
        <v>164</v>
      </c>
      <c r="B74" s="3" t="s">
        <v>165</v>
      </c>
      <c r="C74" s="3"/>
      <c r="D74" s="3" t="s">
        <v>166</v>
      </c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</row>
    <row r="75" spans="1:115" x14ac:dyDescent="0.25">
      <c r="A75" s="3" t="s">
        <v>167</v>
      </c>
      <c r="B75" s="3" t="s">
        <v>168</v>
      </c>
      <c r="C75" s="3"/>
      <c r="D75" s="3" t="s">
        <v>169</v>
      </c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</row>
    <row r="76" spans="1:115" x14ac:dyDescent="0.25">
      <c r="A76" s="3" t="s">
        <v>170</v>
      </c>
      <c r="B76" s="3" t="s">
        <v>171</v>
      </c>
      <c r="C76" s="3"/>
      <c r="D76" s="3" t="s">
        <v>172</v>
      </c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</row>
    <row r="77" spans="1:115" x14ac:dyDescent="0.25">
      <c r="A77" s="3" t="s">
        <v>173</v>
      </c>
      <c r="B77" s="3">
        <v>9</v>
      </c>
      <c r="C77" s="3"/>
      <c r="D77" s="3" t="s">
        <v>174</v>
      </c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</row>
    <row r="78" spans="1:115" x14ac:dyDescent="0.25">
      <c r="A78" s="3" t="s">
        <v>175</v>
      </c>
      <c r="B78" s="3">
        <v>5</v>
      </c>
      <c r="C78" s="3"/>
      <c r="D78" s="3" t="s">
        <v>176</v>
      </c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</row>
    <row r="79" spans="1:115" x14ac:dyDescent="0.25">
      <c r="A79" s="3" t="s">
        <v>177</v>
      </c>
      <c r="B79" s="3">
        <v>1</v>
      </c>
      <c r="C79" s="3"/>
      <c r="D79" s="3" t="s">
        <v>178</v>
      </c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</row>
    <row r="80" spans="1:115" x14ac:dyDescent="0.25">
      <c r="A80" s="3" t="s">
        <v>179</v>
      </c>
      <c r="B80" s="3">
        <v>6</v>
      </c>
      <c r="C80" s="3"/>
      <c r="D80" s="3" t="s">
        <v>180</v>
      </c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</row>
    <row r="81" spans="1:115" x14ac:dyDescent="0.25">
      <c r="A81" s="3" t="s">
        <v>181</v>
      </c>
      <c r="B81" s="3">
        <v>8</v>
      </c>
      <c r="C81" s="3"/>
      <c r="D81" s="3" t="s">
        <v>182</v>
      </c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</row>
    <row r="82" spans="1:115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</row>
    <row r="83" spans="1:115" x14ac:dyDescent="0.25">
      <c r="A83" s="15" t="s">
        <v>183</v>
      </c>
      <c r="B83" s="15"/>
      <c r="C83" s="15"/>
      <c r="D83" s="15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</row>
    <row r="84" spans="1:115" x14ac:dyDescent="0.25">
      <c r="A84" s="3" t="s">
        <v>184</v>
      </c>
      <c r="B84" s="3" t="s">
        <v>156</v>
      </c>
      <c r="C84" s="3"/>
      <c r="D84" s="3" t="s">
        <v>185</v>
      </c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</row>
    <row r="85" spans="1:115" x14ac:dyDescent="0.25">
      <c r="A85" s="3" t="s">
        <v>186</v>
      </c>
      <c r="B85" s="3" t="s">
        <v>159</v>
      </c>
      <c r="C85" s="3"/>
      <c r="D85" s="3" t="s">
        <v>187</v>
      </c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</row>
    <row r="86" spans="1:115" x14ac:dyDescent="0.25">
      <c r="A86" s="3" t="s">
        <v>188</v>
      </c>
      <c r="B86" s="3">
        <v>9.9999999999999995E-7</v>
      </c>
      <c r="C86" s="3" t="str">
        <f>INDEX(rngUnitSettings,MATCH("Area",INDEX(rngUnitSettings,,1),0),2)</f>
        <v>mm2</v>
      </c>
      <c r="D86" s="3" t="s">
        <v>189</v>
      </c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</row>
    <row r="87" spans="1:115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</row>
    <row r="88" spans="1:115" x14ac:dyDescent="0.25">
      <c r="A88" s="15" t="s">
        <v>190</v>
      </c>
      <c r="B88" s="15"/>
      <c r="C88" s="15"/>
      <c r="D88" s="15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</row>
    <row r="89" spans="1:115" x14ac:dyDescent="0.25">
      <c r="A89" s="3" t="s">
        <v>191</v>
      </c>
      <c r="B89" s="3" t="s">
        <v>93</v>
      </c>
      <c r="C89" s="3"/>
      <c r="D89" s="3" t="s">
        <v>192</v>
      </c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</row>
    <row r="90" spans="1:115" x14ac:dyDescent="0.25">
      <c r="A90" s="3" t="s">
        <v>193</v>
      </c>
      <c r="B90" s="3" t="s">
        <v>93</v>
      </c>
      <c r="C90" s="3"/>
      <c r="D90" s="3" t="s">
        <v>194</v>
      </c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</row>
    <row r="91" spans="1:115" x14ac:dyDescent="0.25">
      <c r="A91" s="3" t="s">
        <v>195</v>
      </c>
      <c r="B91" s="3" t="s">
        <v>141</v>
      </c>
      <c r="C91" s="3"/>
      <c r="D91" s="3" t="s">
        <v>196</v>
      </c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</row>
    <row r="92" spans="1:115" x14ac:dyDescent="0.25">
      <c r="A92" s="3" t="s">
        <v>197</v>
      </c>
      <c r="B92" s="3" t="s">
        <v>150</v>
      </c>
      <c r="C92" s="3"/>
      <c r="D92" s="3" t="s">
        <v>198</v>
      </c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</row>
    <row r="93" spans="1:115" x14ac:dyDescent="0.25">
      <c r="A93" s="3" t="s">
        <v>199</v>
      </c>
      <c r="B93" s="3" t="s">
        <v>93</v>
      </c>
      <c r="C93" s="3"/>
      <c r="D93" s="3" t="s">
        <v>200</v>
      </c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</row>
    <row r="94" spans="1:115" x14ac:dyDescent="0.25">
      <c r="A94" s="3" t="s">
        <v>201</v>
      </c>
      <c r="B94" s="3" t="s">
        <v>202</v>
      </c>
      <c r="C94" s="3"/>
      <c r="D94" s="3" t="s">
        <v>203</v>
      </c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</row>
    <row r="95" spans="1:115" x14ac:dyDescent="0.25">
      <c r="A95" s="3" t="s">
        <v>204</v>
      </c>
      <c r="B95" s="3">
        <v>100</v>
      </c>
      <c r="C95" s="3" t="str">
        <f>INDEX(rngUnitSettings,MATCH("Length",INDEX(rngUnitSettings,,1),0),2)</f>
        <v>mm</v>
      </c>
      <c r="D95" s="3" t="s">
        <v>205</v>
      </c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</row>
    <row r="96" spans="1:115" x14ac:dyDescent="0.25">
      <c r="A96" s="3" t="s">
        <v>206</v>
      </c>
      <c r="B96" s="3">
        <v>1</v>
      </c>
      <c r="C96" s="3" t="s">
        <v>36</v>
      </c>
      <c r="D96" s="3" t="s">
        <v>207</v>
      </c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</row>
    <row r="97" spans="1:115" x14ac:dyDescent="0.25">
      <c r="A97" s="3" t="s">
        <v>208</v>
      </c>
      <c r="B97" s="3" t="s">
        <v>93</v>
      </c>
      <c r="C97" s="3"/>
      <c r="D97" s="3" t="s">
        <v>209</v>
      </c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</row>
    <row r="98" spans="1:115" x14ac:dyDescent="0.25">
      <c r="A98" s="3" t="s">
        <v>210</v>
      </c>
      <c r="B98" s="3" t="s">
        <v>93</v>
      </c>
      <c r="C98" s="3"/>
      <c r="D98" s="3" t="s">
        <v>211</v>
      </c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</row>
    <row r="99" spans="1:115" x14ac:dyDescent="0.25">
      <c r="A99" s="3" t="s">
        <v>212</v>
      </c>
      <c r="B99" s="3" t="s">
        <v>93</v>
      </c>
      <c r="C99" s="3"/>
      <c r="D99" s="3" t="s">
        <v>213</v>
      </c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</row>
    <row r="100" spans="1:115" x14ac:dyDescent="0.25">
      <c r="A100" s="3" t="s">
        <v>214</v>
      </c>
      <c r="B100" s="3" t="s">
        <v>93</v>
      </c>
      <c r="C100" s="3"/>
      <c r="D100" s="3" t="s">
        <v>215</v>
      </c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</row>
    <row r="101" spans="1:115" x14ac:dyDescent="0.25">
      <c r="A101" s="3" t="s">
        <v>216</v>
      </c>
      <c r="B101" s="3" t="s">
        <v>93</v>
      </c>
      <c r="C101" s="3"/>
      <c r="D101" s="3" t="s">
        <v>217</v>
      </c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</row>
    <row r="102" spans="1:115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</row>
    <row r="103" spans="1:115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</row>
    <row r="104" spans="1:115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</row>
    <row r="105" spans="1:115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</row>
    <row r="106" spans="1:115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</row>
    <row r="107" spans="1:115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</row>
    <row r="108" spans="1:115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</row>
    <row r="109" spans="1:115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</row>
    <row r="110" spans="1:115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</row>
    <row r="111" spans="1:115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</row>
    <row r="112" spans="1:115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</row>
    <row r="113" spans="1:115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</row>
    <row r="114" spans="1:115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</row>
    <row r="115" spans="1:115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</row>
    <row r="116" spans="1:115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</row>
    <row r="117" spans="1:115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</row>
    <row r="118" spans="1:115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</row>
    <row r="119" spans="1:115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</row>
    <row r="120" spans="1:115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</row>
    <row r="121" spans="1:115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</row>
    <row r="122" spans="1:115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</row>
    <row r="123" spans="1:115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</row>
    <row r="124" spans="1:115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</row>
    <row r="125" spans="1:115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</row>
    <row r="126" spans="1:115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</row>
    <row r="127" spans="1:115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</row>
    <row r="128" spans="1:115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</row>
    <row r="129" spans="1:115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</row>
    <row r="130" spans="1:115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</row>
    <row r="131" spans="1:115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</row>
    <row r="132" spans="1:115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</row>
    <row r="133" spans="1:115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</row>
    <row r="134" spans="1:115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</row>
    <row r="135" spans="1:115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</row>
    <row r="136" spans="1:115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</row>
    <row r="137" spans="1:115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</row>
    <row r="138" spans="1:115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</row>
    <row r="139" spans="1:115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</row>
    <row r="140" spans="1:115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</row>
    <row r="141" spans="1:115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</row>
    <row r="142" spans="1:115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</row>
    <row r="143" spans="1:115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</row>
    <row r="144" spans="1:115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</row>
    <row r="145" spans="1:115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</row>
    <row r="146" spans="1:115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</row>
    <row r="147" spans="1:115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</row>
    <row r="148" spans="1:115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</row>
    <row r="149" spans="1:115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</row>
    <row r="150" spans="1:115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</row>
    <row r="151" spans="1:115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</row>
    <row r="152" spans="1:115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</row>
    <row r="153" spans="1:115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</row>
    <row r="154" spans="1:115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</row>
    <row r="155" spans="1:115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</row>
    <row r="156" spans="1:115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</row>
    <row r="157" spans="1:115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</row>
    <row r="158" spans="1:115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</row>
    <row r="159" spans="1:115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</row>
    <row r="160" spans="1:115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</row>
    <row r="161" spans="1:115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</row>
    <row r="162" spans="1:115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</row>
    <row r="163" spans="1:115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</row>
    <row r="164" spans="1:115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</row>
    <row r="165" spans="1:115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</row>
    <row r="166" spans="1:115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</row>
    <row r="167" spans="1:115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</row>
    <row r="168" spans="1:115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</row>
    <row r="169" spans="1:115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</row>
    <row r="170" spans="1:115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</row>
    <row r="171" spans="1:115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</row>
    <row r="172" spans="1:115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</row>
    <row r="173" spans="1:115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</row>
    <row r="174" spans="1:115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</row>
    <row r="175" spans="1:115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</row>
    <row r="176" spans="1:115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</row>
    <row r="177" spans="1:115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</row>
    <row r="178" spans="1:115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</row>
    <row r="179" spans="1:115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</row>
    <row r="180" spans="1:115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</row>
    <row r="181" spans="1:115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</row>
    <row r="182" spans="1:115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</row>
    <row r="183" spans="1:115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</row>
    <row r="184" spans="1:115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</row>
    <row r="185" spans="1:115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</row>
    <row r="186" spans="1:115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</row>
    <row r="187" spans="1:115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</row>
    <row r="188" spans="1:115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</row>
    <row r="189" spans="1:115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</row>
    <row r="190" spans="1:115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</row>
    <row r="191" spans="1:115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</row>
    <row r="192" spans="1:115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</row>
    <row r="193" spans="1:115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</row>
    <row r="194" spans="1:115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</row>
    <row r="195" spans="1:115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</row>
    <row r="196" spans="1:115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</row>
    <row r="197" spans="1:115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</row>
    <row r="198" spans="1:115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</row>
    <row r="199" spans="1:115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</row>
    <row r="200" spans="1:115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</row>
    <row r="201" spans="1:115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</row>
    <row r="202" spans="1:115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</row>
    <row r="203" spans="1:115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</row>
    <row r="204" spans="1:115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</row>
    <row r="205" spans="1:115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</row>
    <row r="206" spans="1:115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</row>
    <row r="207" spans="1:115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</row>
    <row r="208" spans="1:115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</row>
    <row r="209" spans="1:115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</row>
    <row r="210" spans="1:115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</row>
    <row r="211" spans="1:115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</row>
    <row r="212" spans="1:115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</row>
    <row r="213" spans="1:115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</row>
    <row r="214" spans="1:115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</row>
    <row r="215" spans="1:115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</row>
    <row r="216" spans="1:115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</row>
    <row r="217" spans="1:115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</row>
    <row r="218" spans="1:115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</row>
    <row r="219" spans="1:115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</row>
    <row r="220" spans="1:115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</row>
    <row r="221" spans="1:115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</row>
    <row r="222" spans="1:115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</row>
    <row r="223" spans="1:115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</row>
    <row r="224" spans="1:115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</row>
    <row r="225" spans="1:115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</row>
    <row r="226" spans="1:115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</row>
    <row r="227" spans="1:115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</row>
    <row r="228" spans="1:115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</row>
    <row r="229" spans="1:115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</row>
    <row r="230" spans="1:115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</row>
    <row r="231" spans="1:115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</row>
    <row r="232" spans="1:115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</row>
    <row r="233" spans="1:115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</row>
    <row r="234" spans="1:115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</row>
    <row r="235" spans="1:115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</row>
    <row r="236" spans="1:115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</row>
    <row r="237" spans="1:115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</row>
    <row r="238" spans="1:115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</row>
    <row r="239" spans="1:115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</row>
    <row r="240" spans="1:115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</row>
    <row r="241" spans="1:115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</row>
    <row r="242" spans="1:115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</row>
    <row r="243" spans="1:115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</row>
    <row r="244" spans="1:115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</row>
    <row r="245" spans="1:115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</row>
    <row r="246" spans="1:115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</row>
    <row r="247" spans="1:115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</row>
    <row r="248" spans="1:115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</row>
    <row r="249" spans="1:115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</row>
    <row r="250" spans="1:115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</row>
    <row r="251" spans="1:115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</row>
    <row r="252" spans="1:115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</row>
    <row r="253" spans="1:115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</row>
    <row r="254" spans="1:115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</row>
    <row r="255" spans="1:115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</row>
    <row r="256" spans="1:115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</row>
    <row r="257" spans="1:115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</row>
    <row r="258" spans="1:115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</row>
    <row r="259" spans="1:115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</row>
    <row r="260" spans="1:115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</row>
  </sheetData>
  <mergeCells count="8">
    <mergeCell ref="F29:L29"/>
    <mergeCell ref="F2:H2"/>
    <mergeCell ref="J2:L2"/>
    <mergeCell ref="N2:Q2"/>
    <mergeCell ref="N12:P12"/>
    <mergeCell ref="N19:R19"/>
    <mergeCell ref="F15:I15"/>
    <mergeCell ref="J15:M15"/>
  </mergeCells>
  <dataValidations count="50">
    <dataValidation type="list" showInputMessage="1" showErrorMessage="1" sqref="O4" xr:uid="{9C6F15B4-8156-47F6-A2BC-94706288EFAE}">
      <formula1>$BR$1:$BR$3</formula1>
    </dataValidation>
    <dataValidation type="list" showInputMessage="1" showErrorMessage="1" sqref="Q4" xr:uid="{86DDEE2C-B018-41E0-8A10-73CAE5BE93E8}">
      <formula1>$BR$1:$BR$3</formula1>
    </dataValidation>
    <dataValidation type="list" showInputMessage="1" showErrorMessage="1" sqref="O5" xr:uid="{6B01A410-FE51-43D7-9001-BE2261A0C15E}">
      <formula1>$BS$1:$BS$3</formula1>
    </dataValidation>
    <dataValidation type="list" showInputMessage="1" showErrorMessage="1" sqref="Q5" xr:uid="{A8581A98-1AF9-487A-9665-851781953A1E}">
      <formula1>$BS$1:$BS$3</formula1>
    </dataValidation>
    <dataValidation type="list" showInputMessage="1" showErrorMessage="1" sqref="O6" xr:uid="{1FB89789-C96A-4816-A777-142FCCC64044}">
      <formula1>$BT$1:$BT$3</formula1>
    </dataValidation>
    <dataValidation type="list" showInputMessage="1" showErrorMessage="1" sqref="Q6" xr:uid="{3D810B48-805F-45B9-9178-D18C9B71C8ED}">
      <formula1>$BT$1:$BT$3</formula1>
    </dataValidation>
    <dataValidation type="list" showInputMessage="1" showErrorMessage="1" sqref="O7" xr:uid="{175EAFF0-A765-4BBF-8FA8-FDC16B6D31E2}">
      <formula1>$BU$1:$BU$3</formula1>
    </dataValidation>
    <dataValidation type="list" showInputMessage="1" showErrorMessage="1" sqref="Q7" xr:uid="{3AFCEDC4-22AD-4004-8509-593A0D5A4180}">
      <formula1>$BU$1:$BU$3</formula1>
    </dataValidation>
    <dataValidation type="list" showInputMessage="1" showErrorMessage="1" sqref="O8" xr:uid="{C0838F4E-D625-4344-932A-BC4E4283ED51}">
      <formula1>$BV$1:$BV$5</formula1>
    </dataValidation>
    <dataValidation type="list" showInputMessage="1" showErrorMessage="1" sqref="Q8" xr:uid="{2AACA01D-B891-4326-8276-CF008D854FF2}">
      <formula1>$BV$1:$BV$5</formula1>
    </dataValidation>
    <dataValidation type="list" showInputMessage="1" showErrorMessage="1" sqref="O9" xr:uid="{B51C197A-87CC-4A88-B577-3698A027EC81}">
      <formula1>$BW$1:$BW$2</formula1>
    </dataValidation>
    <dataValidation type="list" showInputMessage="1" showErrorMessage="1" sqref="Q9" xr:uid="{7345E84B-0C15-4E0C-9192-98B19D9BE919}">
      <formula1>$BW$1:$BW$2</formula1>
    </dataValidation>
    <dataValidation type="list" showInputMessage="1" showErrorMessage="1" sqref="O14" xr:uid="{0FEDEFE7-C0AB-4D12-9587-352B76183D90}">
      <formula1>$BX$1:$BX$2</formula1>
    </dataValidation>
    <dataValidation type="list" showInputMessage="1" showErrorMessage="1" sqref="O15" xr:uid="{ED19C46A-CF01-422F-BE91-78FBB754CB96}">
      <formula1>$BY$1:$BY$2</formula1>
    </dataValidation>
    <dataValidation type="list" showInputMessage="1" showErrorMessage="1" sqref="O16" xr:uid="{4214D623-0F5A-435E-BDF3-EC4A47D920C9}">
      <formula1>$BZ$1:$BZ$2</formula1>
    </dataValidation>
    <dataValidation type="list" allowBlank="1" showInputMessage="1" showErrorMessage="1" sqref="G24 G25" xr:uid="{F7960EBA-585F-4626-8E82-2853C74F8027}">
      <formula1>$BI$1:$BI$2</formula1>
    </dataValidation>
    <dataValidation type="list" allowBlank="1" showInputMessage="1" showErrorMessage="1" sqref="G47 H47 I47 J47 G48 H48 I48 J48" xr:uid="{956B21F6-DA1B-4645-98FE-FDAB1D67CD5F}">
      <formula1>$BH$1:$BH$2</formula1>
    </dataValidation>
    <dataValidation type="list" allowBlank="1" showInputMessage="1" showErrorMessage="1" sqref="B5" xr:uid="{30DD066F-34DE-4E49-B3FA-C38A472FE2AD}">
      <formula1>$CB$1:$CB$2</formula1>
    </dataValidation>
    <dataValidation type="list" allowBlank="1" showInputMessage="1" showErrorMessage="1" sqref="B6" xr:uid="{EA40595B-2F65-4052-B227-5DD545A875EB}">
      <formula1>$CC$1:$CC$3</formula1>
    </dataValidation>
    <dataValidation type="list" allowBlank="1" showInputMessage="1" showErrorMessage="1" sqref="B19" xr:uid="{0A2B6C40-C008-40F9-B59F-3BFA7B714CA4}">
      <formula1>$CD$1:$CD$2</formula1>
    </dataValidation>
    <dataValidation type="list" allowBlank="1" showInputMessage="1" showErrorMessage="1" sqref="B31" xr:uid="{C5755ACC-BF70-4391-9380-2C9012E803A7}">
      <formula1>$CE$1:$CE$2</formula1>
    </dataValidation>
    <dataValidation type="list" allowBlank="1" showInputMessage="1" showErrorMessage="1" sqref="B32" xr:uid="{013912CA-A681-48F0-9F42-6B0B85413E2D}">
      <formula1>$CF$1:$CF$2</formula1>
    </dataValidation>
    <dataValidation type="list" allowBlank="1" showInputMessage="1" showErrorMessage="1" sqref="B47" xr:uid="{5B916F13-FA42-4148-BAF2-D2F048672809}">
      <formula1>$CG$1:$CG$2</formula1>
    </dataValidation>
    <dataValidation type="list" allowBlank="1" showInputMessage="1" showErrorMessage="1" sqref="B48" xr:uid="{5FDEC019-0A3E-43DB-AC15-0EC58E8B7049}">
      <formula1>$CH$1:$CH$3</formula1>
    </dataValidation>
    <dataValidation type="list" allowBlank="1" showInputMessage="1" showErrorMessage="1" sqref="B38" xr:uid="{8FE95DCF-8E79-489D-A762-D31F324C0C2F}">
      <formula1>$CI$1:$CI$2</formula1>
    </dataValidation>
    <dataValidation type="list" allowBlank="1" showInputMessage="1" showErrorMessage="1" sqref="B58" xr:uid="{640416CF-816D-45C3-BF44-20EE75C05E0F}">
      <formula1>$CJ$1:$CJ$2</formula1>
    </dataValidation>
    <dataValidation type="list" allowBlank="1" showInputMessage="1" showErrorMessage="1" sqref="B69" xr:uid="{B260BA0E-DF4F-44E5-B207-C42A050699C4}">
      <formula1>$CK$1:$CK$2</formula1>
    </dataValidation>
    <dataValidation type="list" allowBlank="1" showInputMessage="1" showErrorMessage="1" sqref="B70" xr:uid="{3E9809EB-DEFF-4C69-8E8A-313B29DA2BDE}">
      <formula1>$CL$1:$CL$2</formula1>
    </dataValidation>
    <dataValidation type="list" allowBlank="1" showInputMessage="1" showErrorMessage="1" sqref="B66" xr:uid="{9EE3BF89-0E41-4B69-9FA7-9AE9AF81FAC7}">
      <formula1>$CM$1:$CM$2</formula1>
    </dataValidation>
    <dataValidation type="list" allowBlank="1" showInputMessage="1" showErrorMessage="1" sqref="B67" xr:uid="{2C12D2D0-5D83-46AD-ABC7-16B346A4E291}">
      <formula1>$CN$1:$CN$2</formula1>
    </dataValidation>
    <dataValidation type="list" allowBlank="1" showInputMessage="1" showErrorMessage="1" sqref="B68" xr:uid="{AE489595-7CE8-49AB-8CBC-D9AD6AF79FBB}">
      <formula1>$CO$1:$CO$2</formula1>
    </dataValidation>
    <dataValidation type="list" allowBlank="1" showInputMessage="1" showErrorMessage="1" sqref="B89" xr:uid="{A0336BCB-846F-473F-81E2-A2C7F5AE4051}">
      <formula1>$CP$1:$CP$2</formula1>
    </dataValidation>
    <dataValidation type="list" allowBlank="1" showInputMessage="1" showErrorMessage="1" sqref="B90" xr:uid="{2BADEB33-2784-413E-AFC9-F7147DD32BF1}">
      <formula1>$CQ$1:$CQ$2</formula1>
    </dataValidation>
    <dataValidation type="list" allowBlank="1" showInputMessage="1" showErrorMessage="1" sqref="B92" xr:uid="{44AC0F21-6311-4F57-90F7-BC9426FFDA44}">
      <formula1>$CR$1:$CR$2</formula1>
    </dataValidation>
    <dataValidation type="list" allowBlank="1" showInputMessage="1" showErrorMessage="1" sqref="B93" xr:uid="{C9E8FC59-015C-4D7F-BE27-E6FF7D3CB642}">
      <formula1>$CS$1:$CS$2</formula1>
    </dataValidation>
    <dataValidation type="list" allowBlank="1" showInputMessage="1" showErrorMessage="1" sqref="B94" xr:uid="{EA0E1911-631C-435C-B095-4A4437090325}">
      <formula1>$CT$1:$CT$2</formula1>
    </dataValidation>
    <dataValidation type="list" allowBlank="1" showInputMessage="1" showErrorMessage="1" sqref="B97" xr:uid="{6CECB8D7-1F5C-47A6-8A8D-4BB668E74F02}">
      <formula1>$CU$1:$CU$2</formula1>
    </dataValidation>
    <dataValidation type="list" allowBlank="1" showInputMessage="1" showErrorMessage="1" sqref="B98" xr:uid="{92123C6A-9F26-4CA0-BDC0-83855D9844D0}">
      <formula1>$CV$1:$CV$2</formula1>
    </dataValidation>
    <dataValidation type="list" allowBlank="1" showInputMessage="1" showErrorMessage="1" sqref="B99" xr:uid="{76ADC288-2524-47B2-840F-DA017ECDA19F}">
      <formula1>$CW$1:$CW$2</formula1>
    </dataValidation>
    <dataValidation type="list" allowBlank="1" showInputMessage="1" showErrorMessage="1" sqref="B100" xr:uid="{F8B60855-83A1-4C5B-A8C9-67A78A3400E5}">
      <formula1>$CX$1:$CX$2</formula1>
    </dataValidation>
    <dataValidation type="list" allowBlank="1" showInputMessage="1" showErrorMessage="1" sqref="B101" xr:uid="{6DE36EA4-EF55-4E1A-B874-6C075AFEC37B}">
      <formula1>$CY$1:$CY$2</formula1>
    </dataValidation>
    <dataValidation type="list" showInputMessage="1" showErrorMessage="1" sqref="B65" xr:uid="{CA6485E3-7205-490C-BB29-993FFC24B8FE}">
      <formula1>$CZ$1:$CZ$21</formula1>
    </dataValidation>
    <dataValidation type="list" showInputMessage="1" showErrorMessage="1" sqref="B91" xr:uid="{DF5C2551-A8AF-4F4E-A442-F51CB35582A4}">
      <formula1>$CZ$1:$CZ$21</formula1>
    </dataValidation>
    <dataValidation type="list" showInputMessage="1" showErrorMessage="1" sqref="O21" xr:uid="{B2643946-DAD7-4AAB-9ECC-D3256BEB8A34}">
      <formula1>$DF$1:$DF$2</formula1>
    </dataValidation>
    <dataValidation type="list" showInputMessage="1" showErrorMessage="1" sqref="P21" xr:uid="{6877BB94-97D8-416A-B498-1641A100B99F}">
      <formula1>$DF$1:$DF$2</formula1>
    </dataValidation>
    <dataValidation type="list" showInputMessage="1" showErrorMessage="1" sqref="O22" xr:uid="{9C544763-17B8-400A-BB86-25ACFD267FDC}">
      <formula1>$DG$1:$DG$2</formula1>
    </dataValidation>
    <dataValidation type="list" showInputMessage="1" showErrorMessage="1" sqref="P22" xr:uid="{95FAECC0-1A51-40D6-9678-D4C3A7613207}">
      <formula1>$DG$1:$DG$2</formula1>
    </dataValidation>
    <dataValidation type="list" showInputMessage="1" showErrorMessage="1" sqref="O24" xr:uid="{35365C90-BE9C-4822-9E60-B0B38D40BE56}">
      <formula1>$DF$1:$DF$2</formula1>
    </dataValidation>
    <dataValidation type="list" showInputMessage="1" showErrorMessage="1" sqref="P29" xr:uid="{34AD68C1-EDD0-4BF6-8190-A8A3C941C83D}">
      <formula1>$DH$1:$DH$5</formula1>
    </dataValidation>
    <dataValidation type="list" showInputMessage="1" showErrorMessage="1" sqref="P30" xr:uid="{C7348ED4-CDE8-4BB6-9758-13FBE0179072}">
      <formula1>$DI$1:$DI$3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A67C6-3739-4F13-908C-EC6979866C2A}">
  <sheetPr codeName="Лист3"/>
  <dimension ref="A1:AY32"/>
  <sheetViews>
    <sheetView workbookViewId="0"/>
  </sheetViews>
  <sheetFormatPr defaultRowHeight="15" x14ac:dyDescent="0.25"/>
  <cols>
    <col min="1" max="1" width="20.7109375" customWidth="1"/>
    <col min="10" max="10" width="20.7109375" customWidth="1"/>
    <col min="29" max="29" width="20.7109375" customWidth="1"/>
    <col min="38" max="38" width="20.7109375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32" spans="1:51" x14ac:dyDescent="0.25">
      <c r="A32" s="1"/>
      <c r="B32" s="1"/>
      <c r="C32" s="1"/>
      <c r="D32" s="1"/>
      <c r="E32" s="1"/>
      <c r="F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C32" s="1"/>
      <c r="AD32" s="1"/>
      <c r="AE32" s="1"/>
      <c r="AF32" s="1"/>
      <c r="AG32" s="1"/>
      <c r="AH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17</vt:i4>
      </vt:variant>
    </vt:vector>
  </HeadingPairs>
  <TitlesOfParts>
    <vt:vector size="20" baseType="lpstr">
      <vt:lpstr>Расчет</vt:lpstr>
      <vt:lpstr>System</vt:lpstr>
      <vt:lpstr>Results</vt:lpstr>
      <vt:lpstr>rngBatchSummary</vt:lpstr>
      <vt:lpstr>rngCircleGeometry</vt:lpstr>
      <vt:lpstr>rngConcreteDiagramPoints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rngSteelDiagramPoints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2026-08-21T19:21:00Z</dcterms:created>
  <dcterms:modified xsi:type="dcterms:W3CDTF">2026-08-21T19:21:21Z</dcterms:modified>
</cp:coreProperties>
</file>