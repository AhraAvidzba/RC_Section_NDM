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9BB32EDF-40EE-4779-B879-69B8A9209344}" xr6:coauthVersionLast="36" xr6:coauthVersionMax="36" xr10:uidLastSave="{00000000-0000-0000-0000-000000000000}"/>
  <bookViews>
    <workbookView xWindow="0" yWindow="0" windowWidth="38370" windowHeight="19980" xr2:uid="{84F4F342-D8C5-4887-A2C3-1AE1EFC228AF}"/>
  </bookViews>
  <sheets>
    <sheet name="Расчет" sheetId="3" r:id="rId1"/>
    <sheet name="Settings" sheetId="2" r:id="rId2"/>
    <sheet name="Results" sheetId="1" r:id="rId3"/>
  </sheets>
  <functionGroups builtInGroupCount="19"/>
  <definedNames>
    <definedName name="rngBatchSummary">Results!$A$1:$N$29</definedName>
    <definedName name="rngCircleGeometry">Settings!$F$16:$I$25</definedName>
    <definedName name="rngConcreteDiagramPoints">Settings!$F$4:$H$13</definedName>
    <definedName name="rngLoadCombinations">Расчет!$A$40:$G$60</definedName>
    <definedName name="rngLShapeGeometry">Settings!$F$30:$N$54</definedName>
    <definedName name="rngNDMElementResults">Results!$A$32</definedName>
    <definedName name="rngNDMSectionAnnotations">Results!$AL$32</definedName>
    <definedName name="rngNDMSectionGeometry">Results!$J$32</definedName>
    <definedName name="rngNDMSectionProperties">Results!$AC$32</definedName>
    <definedName name="rngPlotAnnotationSettings">Settings!$P$20:$T$32</definedName>
    <definedName name="rngResultSection">Расчет!$S$17:$AH$35</definedName>
    <definedName name="rngRoundedRectangleGeometry">Settings!$J$16:$M$22</definedName>
    <definedName name="rngSignConventionSettings">Settings!$N$13:$P$16</definedName>
    <definedName name="rngSteelDiagramPoints">Settings!$J$4:$L$13</definedName>
    <definedName name="rngSystemSettings">Settings!$A$3:$D$106</definedName>
    <definedName name="rngUnitSettings">Settings!$N$3:$Q$9</definedName>
    <definedName name="_xlnm.Print_Area" localSheetId="0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21" i="2" l="1"/>
  <c r="DA20" i="2"/>
  <c r="DA19" i="2"/>
  <c r="DA18" i="2"/>
  <c r="DA17" i="2"/>
  <c r="DA16" i="2"/>
  <c r="DA15" i="2"/>
  <c r="DA14" i="2"/>
  <c r="DA13" i="2"/>
  <c r="DA12" i="2"/>
  <c r="DA11" i="2"/>
  <c r="DA10" i="2"/>
  <c r="DA9" i="2"/>
  <c r="DA8" i="2"/>
  <c r="DA7" i="2"/>
  <c r="DA6" i="2"/>
  <c r="DA5" i="2"/>
  <c r="DA4" i="2"/>
  <c r="DA3" i="2"/>
  <c r="DA2" i="2"/>
  <c r="M54" i="2"/>
  <c r="M53" i="2"/>
  <c r="M52" i="2"/>
  <c r="M51" i="2"/>
  <c r="M50" i="2"/>
  <c r="M49" i="2"/>
  <c r="M48" i="2"/>
  <c r="M47" i="2"/>
  <c r="L43" i="2"/>
  <c r="L42" i="2"/>
  <c r="L41" i="2"/>
  <c r="L40" i="2"/>
  <c r="L39" i="2"/>
  <c r="L38" i="2"/>
  <c r="L37" i="2"/>
  <c r="L36" i="2"/>
  <c r="J31" i="2"/>
  <c r="L22" i="2"/>
  <c r="L21" i="2"/>
  <c r="L20" i="2"/>
  <c r="L19" i="2"/>
  <c r="L18" i="2"/>
  <c r="L17" i="2"/>
  <c r="H23" i="2"/>
  <c r="H22" i="2"/>
  <c r="H20" i="2"/>
  <c r="H18" i="2"/>
  <c r="H17" i="2"/>
  <c r="L3" i="2"/>
  <c r="H3" i="2"/>
  <c r="C95" i="2"/>
  <c r="C86" i="2"/>
  <c r="C60" i="2"/>
  <c r="C59" i="2"/>
  <c r="C42" i="2"/>
  <c r="C37" i="2"/>
  <c r="C36" i="2"/>
  <c r="C35" i="2"/>
  <c r="C27" i="2"/>
  <c r="C26" i="2"/>
  <c r="C25" i="2"/>
  <c r="C18" i="2"/>
  <c r="C17" i="2"/>
  <c r="C16" i="2"/>
  <c r="C15" i="2"/>
  <c r="C14" i="2"/>
  <c r="C10" i="2"/>
  <c r="C9" i="2"/>
  <c r="C7" i="2"/>
  <c r="D40" i="3"/>
  <c r="C40" i="3"/>
  <c r="B40" i="3"/>
</calcChain>
</file>

<file path=xl/sharedStrings.xml><?xml version="1.0" encoding="utf-8"?>
<sst xmlns="http://schemas.openxmlformats.org/spreadsheetml/2006/main" count="1926" uniqueCount="747">
  <si>
    <t>Сочетания нагрузок</t>
  </si>
  <si>
    <t>CombinationID</t>
  </si>
  <si>
    <t>N</t>
  </si>
  <si>
    <t>Mx</t>
  </si>
  <si>
    <t>My</t>
  </si>
  <si>
    <t>CalculationType</t>
  </si>
  <si>
    <t>DurationType</t>
  </si>
  <si>
    <t>Comment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</si>
  <si>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</si>
  <si>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</si>
  <si>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</si>
  <si>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</si>
  <si>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</si>
  <si>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</si>
  <si>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</si>
  <si>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</si>
  <si>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</si>
  <si>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</si>
  <si>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Значение</t>
  </si>
  <si>
    <t>Ед.</t>
  </si>
  <si>
    <t>Комментарий</t>
  </si>
  <si>
    <t>Диагностика</t>
  </si>
  <si>
    <t>Settings</t>
  </si>
  <si>
    <t>Параметр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</si>
  <si>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</si>
  <si>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</si>
  <si>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</si>
  <si>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</si>
  <si>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</si>
  <si>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</si>
  <si>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</si>
  <si>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</si>
  <si>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</si>
  <si>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</si>
  <si>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</si>
  <si>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</si>
  <si>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</si>
  <si>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</si>
  <si>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</si>
  <si>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</si>
  <si>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</si>
  <si>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</si>
  <si>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Concrete.Class</t>
  </si>
  <si>
    <t>B30</t>
  </si>
  <si>
    <t>Класс бетона для текущего набора параметров.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</si>
  <si>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</si>
  <si>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</si>
  <si>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</si>
  <si>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</si>
  <si>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</si>
  <si>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</si>
  <si>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</si>
  <si>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</si>
  <si>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</si>
  <si>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</si>
  <si>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</si>
  <si>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</si>
  <si>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</si>
  <si>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</si>
  <si>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</si>
  <si>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</si>
  <si>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</si>
  <si>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</si>
  <si>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Steel.Class</t>
  </si>
  <si>
    <t>A400</t>
  </si>
  <si>
    <t>Класс обычной ненапрягаемой арматуры.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</si>
  <si>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</si>
  <si>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</si>
  <si>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</si>
  <si>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</si>
  <si>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</si>
  <si>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</si>
  <si>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</si>
  <si>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</si>
  <si>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[Решатель равновесия]</t>
  </si>
  <si>
    <t>Calculation.Mode</t>
  </si>
  <si>
    <t>FullCapacity</t>
  </si>
  <si>
    <t>Режим расчета: DirectState - НДС по заданным усилиям; FullCapacity - поиск lambdaUltimate.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</si>
  <si>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</si>
  <si>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</si>
  <si>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</si>
  <si>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</si>
  <si>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</si>
  <si>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</si>
  <si>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</si>
  <si>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</si>
  <si>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силе; меньше значение строже и может увеличить число итераций.</t>
  </si>
  <si>
    <t>Solver.ToleranceMx</t>
  </si>
  <si>
    <t>Применяется к Newton и Secant. Абсолютный допуск равновесия по моменту Mx; меньше значение строже и может увеличить число итераций.</t>
  </si>
  <si>
    <t>Solver.ToleranceMy</t>
  </si>
  <si>
    <t>Применяется к Newton и Secant. Абсолютный допуск равновесия по моменту My; меньше значение строже и может увеличить число итераций.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</si>
  <si>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</si>
  <si>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</si>
  <si>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</si>
  <si>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</si>
  <si>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</si>
  <si>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</si>
  <si>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</si>
  <si>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</si>
  <si>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</si>
  <si>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</si>
  <si>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</si>
  <si>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</si>
  <si>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</si>
  <si>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</si>
  <si>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</si>
  <si>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несущей способности]</t>
  </si>
  <si>
    <t>Capacity.Method</t>
  </si>
  <si>
    <t>UltimateStrain</t>
  </si>
  <si>
    <t>Актуально для всех расчетов несущей способности. Метод определения: LoadMultiplier - масштабирование заданного вектора моментов; UltimateStrain - прямой поиск состояния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</si>
  <si>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</si>
  <si>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</si>
  <si>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</si>
  <si>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</si>
  <si>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</si>
  <si>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</si>
  <si>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</si>
  <si>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</si>
  <si>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</si>
  <si>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</si>
  <si>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</si>
  <si>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</si>
  <si>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</si>
  <si>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</si>
  <si>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</si>
  <si>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</si>
  <si>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</si>
  <si>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</si>
  <si>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CrackWidth.Enabled</t>
  </si>
  <si>
    <t>Включить расчет ширины раскрытия уже образовавшихся нормальных трещин.</t>
  </si>
  <si>
    <t>CrackWidth.Allowable</t>
  </si>
  <si>
    <t>Допустимая ширина раскрытия трещин для коэффициента использования.</t>
  </si>
  <si>
    <t>CrackWidth.CrackSpacing</t>
  </si>
  <si>
    <t>Временный параметр расстояния между трещинами до окончательной нормативной трассировки.</t>
  </si>
  <si>
    <t>CrackWidth.StrainFactor</t>
  </si>
  <si>
    <t>Временный коэффициент для прозрачной формулы ширины раскрытия на листе.</t>
  </si>
  <si>
    <t>CrackWidth.DurationFactor</t>
  </si>
  <si>
    <t>Временный коэффициент длительности действия нагрузки.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</si>
  <si>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</si>
  <si>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</si>
  <si>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</si>
  <si>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</si>
  <si>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</si>
  <si>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</si>
  <si>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</si>
  <si>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</si>
  <si>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</si>
  <si>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</si>
  <si>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</si>
  <si>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</si>
  <si>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расчетного snapshot.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</si>
  <si>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</si>
  <si>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</si>
  <si>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</si>
  <si>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</si>
  <si>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</si>
  <si>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</si>
  <si>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</si>
  <si>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</si>
  <si>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</si>
  <si>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</si>
  <si>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</si>
  <si>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</si>
  <si>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</si>
  <si>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</si>
  <si>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</si>
  <si>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</si>
  <si>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</si>
  <si>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</si>
  <si>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</si>
  <si>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</si>
  <si>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</si>
  <si>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</si>
  <si>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</si>
  <si>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</si>
  <si>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</si>
  <si>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</si>
  <si>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</si>
  <si>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</si>
  <si>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</si>
  <si>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</si>
  <si>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</si>
  <si>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</si>
  <si>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</si>
  <si>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</si>
  <si>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</si>
  <si>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Steel.Class берется из System, разные классы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</si>
  <si>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</si>
  <si>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</si>
  <si>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</si>
  <si>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</si>
  <si>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последнему расчетному snapshot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</si>
  <si>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</si>
  <si>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</si>
  <si>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</si>
  <si>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</si>
  <si>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</si>
  <si>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Используется сохраненный snapshot, а не текущие единицы System.</t>
  </si>
  <si>
    <t>Plot.ResultGradient</t>
  </si>
  <si>
    <t>Включить цветовое различение результата на схеме. Цвет физического состояния берется из PhysicalState snapshot.</t>
  </si>
  <si>
    <t>Plot.ResultLabelsEnabled</t>
  </si>
  <si>
    <t>No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</si>
  <si>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</si>
  <si>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</si>
  <si>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</si>
  <si>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</si>
  <si>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</si>
  <si>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</si>
  <si>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</si>
  <si>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</si>
  <si>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</si>
  <si>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</si>
  <si>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расчетного snapshot.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</si>
  <si>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</si>
  <si>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</si>
  <si>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</si>
  <si>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</si>
  <si>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</si>
  <si>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</si>
  <si>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</si>
  <si>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</si>
  <si>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</si>
  <si>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</si>
  <si>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</si>
  <si>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</si>
  <si>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</si>
  <si>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</si>
  <si>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</si>
  <si>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</si>
  <si>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</si>
  <si>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</si>
  <si>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</si>
  <si>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</si>
  <si>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Точки диаграммы бетона</t>
  </si>
  <si>
    <t>Point</t>
  </si>
  <si>
    <t>Strain</t>
  </si>
  <si>
    <t>Точки диаграммы арматуры</t>
  </si>
  <si>
    <t>Units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</si>
  <si>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</si>
  <si>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</si>
  <si>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</si>
  <si>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</si>
  <si>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</si>
  <si>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</si>
  <si>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</si>
  <si>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</si>
  <si>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</si>
  <si>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</si>
  <si>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</si>
  <si>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</si>
  <si>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</si>
  <si>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</si>
  <si>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</si>
  <si>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</si>
  <si>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</si>
  <si>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</si>
  <si>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</si>
  <si>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</si>
  <si>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</si>
  <si>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</si>
  <si>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</si>
  <si>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</si>
  <si>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</si>
  <si>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</si>
  <si>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</si>
  <si>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Sign convention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</si>
  <si>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</si>
  <si>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</si>
  <si>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</si>
  <si>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</si>
  <si>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</si>
  <si>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</si>
  <si>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</si>
  <si>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</si>
  <si>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</si>
  <si>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</si>
  <si>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[Аннотации схемы]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</si>
  <si>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</si>
  <si>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</si>
  <si>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</si>
  <si>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</si>
  <si>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</si>
  <si>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</si>
  <si>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</si>
  <si>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</si>
  <si>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</si>
  <si>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</si>
  <si>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</si>
  <si>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-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</si>
  <si>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</si>
  <si>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</si>
  <si>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</si>
  <si>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</si>
  <si>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</si>
  <si>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</si>
  <si>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</si>
  <si>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</si>
  <si>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</si>
  <si>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</si>
  <si>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</si>
  <si>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</si>
  <si>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</si>
  <si>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</si>
  <si>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</si>
  <si>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</si>
  <si>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</si>
  <si>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</si>
  <si>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</si>
  <si>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</si>
  <si>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</si>
  <si>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</si>
  <si>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</si>
  <si>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</si>
  <si>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</si>
  <si>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</si>
  <si>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</si>
  <si>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</si>
  <si>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</si>
  <si>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</si>
  <si>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</si>
  <si>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</si>
  <si>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</si>
  <si>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</si>
  <si>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</si>
  <si>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</si>
  <si>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</si>
  <si>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</si>
  <si>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</si>
  <si>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</si>
  <si>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</si>
  <si>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</si>
  <si>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</si>
  <si>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</si>
  <si>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</si>
  <si>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</si>
  <si>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</si>
  <si>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</si>
  <si>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</si>
  <si>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</si>
  <si>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</si>
  <si>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</si>
  <si>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</si>
  <si>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</si>
  <si>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</si>
  <si>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</si>
  <si>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ГЕОМЕТРИЯ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</si>
  <si>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</si>
  <si>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</si>
  <si>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</si>
  <si>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</si>
  <si>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</si>
  <si>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</si>
  <si>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</si>
  <si>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</si>
  <si>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</si>
  <si>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</si>
  <si>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</si>
  <si>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</si>
  <si>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</si>
  <si>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</si>
  <si>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</si>
  <si>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</si>
  <si>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</si>
  <si>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</si>
  <si>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</si>
  <si>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</si>
  <si>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</si>
  <si>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</si>
  <si>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</si>
  <si>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</si>
  <si>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</si>
  <si>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</si>
  <si>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</si>
  <si>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</si>
  <si>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</si>
  <si>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</si>
  <si>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</si>
  <si>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</si>
  <si>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</si>
  <si>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</si>
  <si>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</si>
  <si>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</si>
  <si>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</si>
  <si>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</si>
  <si>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</si>
  <si>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</si>
  <si>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</si>
  <si>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</si>
  <si>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</si>
  <si>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</si>
  <si>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</si>
  <si>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UseDiagram</t>
  </si>
  <si>
    <t>DirectState</t>
  </si>
  <si>
    <t>Secant</t>
  </si>
  <si>
    <t>LoadMultiplier</t>
  </si>
  <si>
    <t>Brent</t>
  </si>
  <si>
    <t>ValuesOnly</t>
  </si>
  <si>
    <t>Common</t>
  </si>
  <si>
    <t>Inside</t>
  </si>
  <si>
    <t>Small</t>
  </si>
  <si>
    <t>Wide</t>
  </si>
  <si>
    <t>Stealth</t>
  </si>
  <si>
    <t>Diamond</t>
  </si>
  <si>
    <t>Oval</t>
  </si>
  <si>
    <t>Open</t>
  </si>
  <si>
    <t>Сводка пакетного расчета</t>
  </si>
  <si>
    <t>Определяющее сочетание</t>
  </si>
  <si>
    <t>Наименование определяющего сочетания</t>
  </si>
  <si>
    <t>Время расчета, с</t>
  </si>
  <si>
    <t>Точка приложения нагрузки</t>
  </si>
  <si>
    <t>Наименование</t>
  </si>
  <si>
    <t>Status</t>
  </si>
  <si>
    <t>CapacityStatus</t>
  </si>
  <si>
    <t>CapacityLimitState</t>
  </si>
  <si>
    <t>StrengthCheckStatus</t>
  </si>
  <si>
    <t>CrackStatus</t>
  </si>
  <si>
    <t>LambdaCapacity</t>
  </si>
  <si>
    <t>CapacityUtilization</t>
  </si>
  <si>
    <t>StrainSafetyFactor</t>
  </si>
  <si>
    <t>CrackWidth</t>
  </si>
  <si>
    <t>CrackUtilization</t>
  </si>
  <si>
    <t>WorstUtilization</t>
  </si>
  <si>
    <t>Определяющее</t>
  </si>
  <si>
    <t>OK</t>
  </si>
  <si>
    <t>ConcreteStrainLimit</t>
  </si>
  <si>
    <t>StrengthPassed</t>
  </si>
  <si>
    <t>Да</t>
  </si>
  <si>
    <t>RunID</t>
  </si>
  <si>
    <t>ElementID</t>
  </si>
  <si>
    <t>MaterialType</t>
  </si>
  <si>
    <t>MaterialClass</t>
  </si>
  <si>
    <t>X, mm</t>
  </si>
  <si>
    <t>Y, mm</t>
  </si>
  <si>
    <t>Area, mm2</t>
  </si>
  <si>
    <t>ShapeType</t>
  </si>
  <si>
    <t>Width, mm</t>
  </si>
  <si>
    <t>Height, mm</t>
  </si>
  <si>
    <t>Diameter, mm</t>
  </si>
  <si>
    <t>Rotation, rad</t>
  </si>
  <si>
    <t>LocalIx, mm4</t>
  </si>
  <si>
    <t>LocalIy, mm4</t>
  </si>
  <si>
    <t>LocalIxy, mm4</t>
  </si>
  <si>
    <t>C1</t>
  </si>
  <si>
    <t>Rectangle</t>
  </si>
  <si>
    <t>generated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</si>
  <si>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</si>
  <si>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</si>
  <si>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</si>
  <si>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</si>
  <si>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</si>
  <si>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</si>
  <si>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</si>
  <si>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</si>
  <si>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</si>
  <si>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</si>
  <si>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</si>
  <si>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</si>
  <si>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</si>
  <si>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</si>
  <si>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</si>
  <si>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</si>
  <si>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</si>
  <si>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</si>
  <si>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</si>
  <si>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</si>
  <si>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</si>
  <si>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</si>
  <si>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</si>
  <si>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</si>
  <si>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</si>
  <si>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</si>
  <si>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</si>
  <si>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</si>
  <si>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</si>
  <si>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</si>
  <si>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</si>
  <si>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</si>
  <si>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</si>
  <si>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</si>
  <si>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</si>
  <si>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</si>
  <si>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</si>
  <si>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</si>
  <si>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</si>
  <si>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</si>
  <si>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</si>
  <si>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</si>
  <si>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</si>
  <si>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</si>
  <si>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</si>
  <si>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</si>
  <si>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</si>
  <si>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</si>
  <si>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</si>
  <si>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</si>
  <si>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</si>
  <si>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</si>
  <si>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</si>
  <si>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</si>
  <si>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</si>
  <si>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</si>
  <si>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</si>
  <si>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</si>
  <si>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</si>
  <si>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</si>
  <si>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</si>
  <si>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</si>
  <si>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</si>
  <si>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</si>
  <si>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</si>
  <si>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</si>
  <si>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</si>
  <si>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</si>
  <si>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</si>
  <si>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</si>
  <si>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</si>
  <si>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</si>
  <si>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</si>
  <si>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</si>
  <si>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</si>
  <si>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</si>
  <si>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</si>
  <si>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</si>
  <si>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</si>
  <si>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</si>
  <si>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</si>
  <si>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</si>
  <si>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</si>
  <si>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</si>
  <si>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</si>
  <si>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</si>
  <si>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</si>
  <si>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</si>
  <si>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</si>
  <si>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</si>
  <si>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</si>
  <si>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</si>
  <si>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</si>
  <si>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</si>
  <si>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</si>
  <si>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</si>
  <si>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</si>
  <si>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</si>
  <si>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</si>
  <si>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</si>
  <si>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</si>
  <si>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</si>
  <si>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</si>
  <si>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</si>
  <si>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</si>
  <si>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</si>
  <si>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</si>
  <si>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</si>
  <si>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</si>
  <si>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</si>
  <si>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</si>
  <si>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</si>
  <si>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</si>
  <si>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</si>
  <si>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R1</t>
  </si>
  <si>
    <t>Rebar</t>
  </si>
  <si>
    <t>auto lshape H1.as_1 row 1</t>
  </si>
  <si>
    <t>R2</t>
  </si>
  <si>
    <t>R3</t>
  </si>
  <si>
    <t>R4</t>
  </si>
  <si>
    <t>R5</t>
  </si>
  <si>
    <t>R6</t>
  </si>
  <si>
    <t>auto lshape H1.as_2 row 1</t>
  </si>
  <si>
    <t>R7</t>
  </si>
  <si>
    <t>R8</t>
  </si>
  <si>
    <t>R9</t>
  </si>
  <si>
    <t>R10</t>
  </si>
  <si>
    <t>R11</t>
  </si>
  <si>
    <t>auto lshape B1.as_1 row 1</t>
  </si>
  <si>
    <t>R12</t>
  </si>
  <si>
    <t>R13</t>
  </si>
  <si>
    <t>auto lshape B1.as_2 row 1</t>
  </si>
  <si>
    <t>R14</t>
  </si>
  <si>
    <t>R15</t>
  </si>
  <si>
    <t>auto lshape H2.as_1 row 1</t>
  </si>
  <si>
    <t>R16</t>
  </si>
  <si>
    <t>R17</t>
  </si>
  <si>
    <t>auto lshape H2.as_2 row 1</t>
  </si>
  <si>
    <t>R18</t>
  </si>
  <si>
    <t>R19</t>
  </si>
  <si>
    <t>auto lshape B2.as_1 row 1</t>
  </si>
  <si>
    <t>R20</t>
  </si>
  <si>
    <t>R21</t>
  </si>
  <si>
    <t>R22</t>
  </si>
  <si>
    <t>R23</t>
  </si>
  <si>
    <t>R24</t>
  </si>
  <si>
    <t>auto lshape B2.as_2 row 1</t>
  </si>
  <si>
    <t>R25</t>
  </si>
  <si>
    <t>R26</t>
  </si>
  <si>
    <t>R27</t>
  </si>
  <si>
    <t>R28</t>
  </si>
  <si>
    <t>LoadCase</t>
  </si>
  <si>
    <t>Stress, MPa</t>
  </si>
  <si>
    <t>PhysicalState</t>
  </si>
  <si>
    <t>InactiveTensionConcrete</t>
  </si>
  <si>
    <t>Parameter</t>
  </si>
  <si>
    <t>Value</t>
  </si>
  <si>
    <t>Unit</t>
  </si>
  <si>
    <t>ALL</t>
  </si>
  <si>
    <t>Bounds.MinX</t>
  </si>
  <si>
    <t>Минимальный X расчетной модели.</t>
  </si>
  <si>
    <t>Bounds.MaxX</t>
  </si>
  <si>
    <t>Максимальный X расчетной модели.</t>
  </si>
  <si>
    <t>Bounds.MinY</t>
  </si>
  <si>
    <t>Минимальный Y расчетной модели.</t>
  </si>
  <si>
    <t>Bounds.MaxY</t>
  </si>
  <si>
    <t>Максимальный Y расчетной модели.</t>
  </si>
  <si>
    <t>CentroidX</t>
  </si>
  <si>
    <t>Центр тяжести приведенного сечения.</t>
  </si>
  <si>
    <t>CentroidY</t>
  </si>
  <si>
    <t>PrincipalAngle</t>
  </si>
  <si>
    <t>rad</t>
  </si>
  <si>
    <t>Угол главных центральных осей.</t>
  </si>
  <si>
    <t>PrincipalI1</t>
  </si>
  <si>
    <t>mm4</t>
  </si>
  <si>
    <t>Главный момент инерции I1.</t>
  </si>
  <si>
    <t>PrincipalI2</t>
  </si>
  <si>
    <t>Главный момент инерции I2.</t>
  </si>
  <si>
    <t>ConcreteCount</t>
  </si>
  <si>
    <t>Количество бетонных элементов.</t>
  </si>
  <si>
    <t>RebarCount</t>
  </si>
  <si>
    <t>Количество элементов арматуры.</t>
  </si>
  <si>
    <t>Output.LengthUnit</t>
  </si>
  <si>
    <t>Единица вывода длины snapshot.</t>
  </si>
  <si>
    <t>Output.AreaUnit</t>
  </si>
  <si>
    <t>Единица вывода площади snapshot.</t>
  </si>
  <si>
    <t>Output.ForceUnit</t>
  </si>
  <si>
    <t>Единица вывода силы snapshot.</t>
  </si>
  <si>
    <t>Output.MomentUnit</t>
  </si>
  <si>
    <t>Единица вывода момента snapshot.</t>
  </si>
  <si>
    <t>Output.StressUnit</t>
  </si>
  <si>
    <t>Единица вывода напряжения snapshot.</t>
  </si>
  <si>
    <t>Output.CurvatureUnit</t>
  </si>
  <si>
    <t>Единица вывода кривизны snapshot.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</si>
  <si>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</si>
  <si>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</si>
  <si>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</si>
  <si>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</si>
  <si>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</si>
  <si>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</si>
  <si>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Epsilon0</t>
  </si>
  <si>
    <t>Деформация в начале координат расчетной модели.</t>
  </si>
  <si>
    <t>KappaX</t>
  </si>
  <si>
    <t>Кривизна KappaX.</t>
  </si>
  <si>
    <t>KappaY</t>
  </si>
  <si>
    <t>Кривизна KappaY.</t>
  </si>
  <si>
    <t>LoadReferenceX</t>
  </si>
  <si>
    <t>X точки приложения нагрузки.</t>
  </si>
  <si>
    <t>LoadReferenceY</t>
  </si>
  <si>
    <t>Y точки приложения нагрузки.</t>
  </si>
  <si>
    <t>Заданная продольная сила.</t>
  </si>
  <si>
    <t>MxUser</t>
  </si>
  <si>
    <t>Пользовательский Mx.</t>
  </si>
  <si>
    <t>MyUser</t>
  </si>
  <si>
    <t>Пользовательский My.</t>
  </si>
  <si>
    <t>MxInternal</t>
  </si>
  <si>
    <t>Mx после переноса к координатам элементов.</t>
  </si>
  <si>
    <t>MyInternal</t>
  </si>
  <si>
    <t>My после переноса к координатам элементов.</t>
  </si>
  <si>
    <t>Nint</t>
  </si>
  <si>
    <t>Внутренняя продольная сила.</t>
  </si>
  <si>
    <t>Сводный статус сочетания.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</si>
  <si>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</si>
  <si>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</si>
  <si>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</si>
  <si>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</si>
  <si>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</si>
  <si>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</si>
  <si>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</si>
  <si>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</si>
  <si>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</si>
  <si>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CONTOUR_LINE</t>
  </si>
  <si>
    <t>CONTOUR_LINE_2</t>
  </si>
  <si>
    <t>Generated section contour segment.</t>
  </si>
  <si>
    <t>CONTOUR_LINE_3</t>
  </si>
  <si>
    <t>CONTOUR_LINE_4</t>
  </si>
  <si>
    <t>CONTOUR_LINE_5</t>
  </si>
  <si>
    <t>CONTOUR_LINE_6</t>
  </si>
  <si>
    <t>CONTOUR_LINE_7</t>
  </si>
  <si>
    <t>DIMENSION</t>
  </si>
  <si>
    <t>DIM_B</t>
  </si>
  <si>
    <t>B=600 mm</t>
  </si>
  <si>
    <t>Overall concrete width by Bounds.</t>
  </si>
  <si>
    <t>DIM_H</t>
  </si>
  <si>
    <t>H=800 mm</t>
  </si>
  <si>
    <t>Overall concrete height by Bounds.</t>
  </si>
  <si>
    <t>DIM_TOP_WIDTH</t>
  </si>
  <si>
    <t>B1=250 mm</t>
  </si>
  <si>
    <t>Top horizontal size detected from concrete bounds.</t>
  </si>
  <si>
    <t>DIM_RIGHT_HEIGHT</t>
  </si>
  <si>
    <t>H2=250 mm</t>
  </si>
  <si>
    <t>Right vertical size detected from concrete bounds.</t>
  </si>
  <si>
    <t>REBAR_ANNOTATION</t>
  </si>
  <si>
    <t>REBAR_H1.as_1</t>
  </si>
  <si>
    <t>5Ø32</t>
  </si>
  <si>
    <t>Grouped rebar annotation.</t>
  </si>
  <si>
    <t>REBAR_H1.as_2</t>
  </si>
  <si>
    <t>REBAR_B1.as_1</t>
  </si>
  <si>
    <t>2Ø32</t>
  </si>
  <si>
    <t>REBAR_B1.as_2</t>
  </si>
  <si>
    <t>REBAR_H2.as_1</t>
  </si>
  <si>
    <t>REBAR_H2.as_2</t>
  </si>
  <si>
    <t>REBAR_B2.as_1</t>
  </si>
  <si>
    <t>REBAR_B2.as_2</t>
  </si>
  <si>
    <t>Indicator</t>
  </si>
  <si>
    <t>Mode</t>
  </si>
  <si>
    <t>Converged</t>
  </si>
  <si>
    <t>LimitState</t>
  </si>
  <si>
    <t>LambdaUltimate</t>
  </si>
  <si>
    <t>MxUltimate</t>
  </si>
  <si>
    <t>MyUltimate</t>
  </si>
  <si>
    <t>MomentResultant</t>
  </si>
  <si>
    <t>SafetyFactor</t>
  </si>
  <si>
    <t>MomentResidual</t>
  </si>
  <si>
    <t>StrainLimits</t>
  </si>
  <si>
    <t>N+Mx+My</t>
  </si>
  <si>
    <t>Единый расчет по направлению вектора моментов</t>
  </si>
  <si>
    <t>Capacity search converged by direct ultimate strain equilibrium.</t>
  </si>
  <si>
    <t>Физические и численные причины остановки разделяются</t>
  </si>
  <si>
    <t>SafetyFactor = LambdaUltimate</t>
  </si>
  <si>
    <t>Внутренние единицы: N*mm</t>
  </si>
  <si>
    <t>Результирующий момент вектора Mx/My</t>
  </si>
  <si>
    <t>Независимая проверка равновесия</t>
  </si>
  <si>
    <t>Параметр плоскости деформаций</t>
  </si>
  <si>
    <t>Кривизна, связанная с координатой y</t>
  </si>
  <si>
    <t>Кривизна, связанная с координатой x</t>
  </si>
  <si>
    <t>CrackConverged</t>
  </si>
  <si>
    <t>CrackAllowable</t>
  </si>
  <si>
    <t>SteelMax</t>
  </si>
  <si>
    <t>РЁРёСЂРёРЅР° СЂР°СЃРєСЂС‹С‚РёСЏ С‚СЂРµС‰РёРЅ СЂР°СЃСЃС‡РёС‚Р°РЅР° РїРѕ РїРµСЂРµРґР°РЅРЅРѕРјСѓ СЃРѕСЃС‚РѕСЏРЅРёСЋ СЃРµС‡РµРЅРёСЏ.</t>
  </si>
  <si>
    <t>Уже образовавшаяся нормальная трещина</t>
  </si>
  <si>
    <t>auto lshape H1.as_1 row 2</t>
  </si>
  <si>
    <t>R29</t>
  </si>
  <si>
    <t>R30</t>
  </si>
  <si>
    <t>R31</t>
  </si>
  <si>
    <t>X=211.35368808414 mm</t>
  </si>
  <si>
    <t>Y=324.225403413203 mm</t>
  </si>
  <si>
    <t>5Ø32 + 3Ø16</t>
  </si>
  <si>
    <t>Utilization=0.126668885303844</t>
  </si>
  <si>
    <t>MaxAbsSteelStrain=4.12289641238002E-03</t>
  </si>
  <si>
    <t>Utilization=8.72929643340361E-02</t>
  </si>
  <si>
    <t>Stress=26.1878893002108 MPa; tensionBars=6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</si>
</sst>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4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3" fontId="3" fillId="0" borderId="0" xfId="0" applyNumberFormat="1" applyFont="1"/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5" borderId="0" xfId="0" applyFont="1" applyFill="1"/>
    <xf numFmtId="0" fontId="3" fillId="0" borderId="0" xfId="0" applyFont="1"/>
    <xf numFmtId="2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Схема сечения при загружении 1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ser>
          <c:idx val="0"/>
          <c:order val="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7D23D2"/>
              </a:solidFill>
              <a:ln>
                <a:solidFill>
                  <a:srgbClr val="7D23D2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7A-E134-4A11-8DF7-9E83E0AAA91E}"/>
            </c:ext>
          </c:extLst>
        </c:ser>
        <c:ser>
          <c:idx val="1"/>
          <c:order val="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822CD2"/>
              </a:solidFill>
              <a:ln>
                <a:solidFill>
                  <a:srgbClr val="822CD2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7B-E134-4A11-8DF7-9E83E0AAA91E}"/>
            </c:ext>
          </c:extLst>
        </c:ser>
        <c:ser>
          <c:idx val="2"/>
          <c:order val="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8636D3"/>
              </a:solidFill>
              <a:ln>
                <a:solidFill>
                  <a:srgbClr val="8636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7C-E134-4A11-8DF7-9E83E0AAA91E}"/>
            </c:ext>
          </c:extLst>
        </c:ser>
        <c:ser>
          <c:idx val="3"/>
          <c:order val="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8B3FD3"/>
              </a:solidFill>
              <a:ln>
                <a:solidFill>
                  <a:srgbClr val="8B3F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7D-E134-4A11-8DF7-9E83E0AAA91E}"/>
            </c:ext>
          </c:extLst>
        </c:ser>
        <c:ser>
          <c:idx val="4"/>
          <c:order val="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048D4"/>
              </a:solidFill>
              <a:ln>
                <a:solidFill>
                  <a:srgbClr val="9048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7E-E134-4A11-8DF7-9E83E0AAA91E}"/>
            </c:ext>
          </c:extLst>
        </c:ser>
        <c:ser>
          <c:idx val="5"/>
          <c:order val="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551D4"/>
              </a:solidFill>
              <a:ln>
                <a:solidFill>
                  <a:srgbClr val="9551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275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7F-E134-4A11-8DF7-9E83E0AAA91E}"/>
            </c:ext>
          </c:extLst>
        </c:ser>
        <c:ser>
          <c:idx val="6"/>
          <c:order val="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95BD4"/>
              </a:solidFill>
              <a:ln>
                <a:solidFill>
                  <a:srgbClr val="995B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325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0-E134-4A11-8DF7-9E83E0AAA91E}"/>
            </c:ext>
          </c:extLst>
        </c:ser>
        <c:ser>
          <c:idx val="7"/>
          <c:order val="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E64D5"/>
              </a:solidFill>
              <a:ln>
                <a:solidFill>
                  <a:srgbClr val="9E64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1-E134-4A11-8DF7-9E83E0AAA91E}"/>
            </c:ext>
          </c:extLst>
        </c:ser>
        <c:ser>
          <c:idx val="8"/>
          <c:order val="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36DD5"/>
              </a:solidFill>
              <a:ln>
                <a:solidFill>
                  <a:srgbClr val="A36DD5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425</c:v>
              </c:pt>
              <c:pt idx="1">
                <c:v>25</c:v>
              </c:pt>
            </c:numLit>
          </c:xVal>
          <c:yVal>
            <c:numLit>
              <c:formatCode>General</c:formatCode>
              <c:ptCount val="2"/>
              <c:pt idx="0">
                <c:v>25</c:v>
              </c:pt>
              <c:pt idx="1">
                <c:v>275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2-E134-4A11-8DF7-9E83E0AAA91E}"/>
            </c:ext>
          </c:extLst>
        </c:ser>
        <c:ser>
          <c:idx val="9"/>
          <c:order val="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776D6"/>
              </a:solidFill>
              <a:ln>
                <a:solidFill>
                  <a:srgbClr val="A776D6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475</c:v>
              </c:pt>
              <c:pt idx="1">
                <c:v>75</c:v>
              </c:pt>
            </c:numLit>
          </c:xVal>
          <c:yVal>
            <c:numLit>
              <c:formatCode>General</c:formatCode>
              <c:ptCount val="2"/>
              <c:pt idx="0">
                <c:v>25</c:v>
              </c:pt>
              <c:pt idx="1">
                <c:v>275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3-E134-4A11-8DF7-9E83E0AAA91E}"/>
            </c:ext>
          </c:extLst>
        </c:ser>
        <c:ser>
          <c:idx val="10"/>
          <c:order val="1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C80D6"/>
              </a:solidFill>
              <a:ln>
                <a:solidFill>
                  <a:srgbClr val="AC80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525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4-E134-4A11-8DF7-9E83E0AAA91E}"/>
            </c:ext>
          </c:extLst>
        </c:ser>
        <c:ser>
          <c:idx val="11"/>
          <c:order val="1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189D6"/>
              </a:solidFill>
              <a:ln>
                <a:solidFill>
                  <a:srgbClr val="B189D6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575</c:v>
              </c:pt>
              <c:pt idx="1">
                <c:v>175</c:v>
              </c:pt>
            </c:numLit>
          </c:xVal>
          <c:yVal>
            <c:numLit>
              <c:formatCode>General</c:formatCode>
              <c:ptCount val="2"/>
              <c:pt idx="0">
                <c:v>25</c:v>
              </c:pt>
              <c:pt idx="1">
                <c:v>275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5-E134-4A11-8DF7-9E83E0AAA91E}"/>
            </c:ext>
          </c:extLst>
        </c:ser>
        <c:ser>
          <c:idx val="12"/>
          <c:order val="1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8532D3"/>
              </a:solidFill>
              <a:ln>
                <a:solidFill>
                  <a:srgbClr val="8532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6-E134-4A11-8DF7-9E83E0AAA91E}"/>
            </c:ext>
          </c:extLst>
        </c:ser>
        <c:ser>
          <c:idx val="13"/>
          <c:order val="1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893BD3"/>
              </a:solidFill>
              <a:ln>
                <a:solidFill>
                  <a:srgbClr val="893B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7-E134-4A11-8DF7-9E83E0AAA91E}"/>
            </c:ext>
          </c:extLst>
        </c:ser>
        <c:ser>
          <c:idx val="14"/>
          <c:order val="1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8E44D3"/>
              </a:solidFill>
              <a:ln>
                <a:solidFill>
                  <a:srgbClr val="8E44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8-E134-4A11-8DF7-9E83E0AAA91E}"/>
            </c:ext>
          </c:extLst>
        </c:ser>
        <c:ser>
          <c:idx val="15"/>
          <c:order val="1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34ED4"/>
              </a:solidFill>
              <a:ln>
                <a:solidFill>
                  <a:srgbClr val="934E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9-E134-4A11-8DF7-9E83E0AAA91E}"/>
            </c:ext>
          </c:extLst>
        </c:ser>
        <c:ser>
          <c:idx val="16"/>
          <c:order val="1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757D4"/>
              </a:solidFill>
              <a:ln>
                <a:solidFill>
                  <a:srgbClr val="9757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A-E134-4A11-8DF7-9E83E0AAA91E}"/>
            </c:ext>
          </c:extLst>
        </c:ser>
        <c:ser>
          <c:idx val="17"/>
          <c:order val="1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C60D5"/>
              </a:solidFill>
              <a:ln>
                <a:solidFill>
                  <a:srgbClr val="9C60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275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B-E134-4A11-8DF7-9E83E0AAA91E}"/>
            </c:ext>
          </c:extLst>
        </c:ser>
        <c:ser>
          <c:idx val="18"/>
          <c:order val="1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169D5"/>
              </a:solidFill>
              <a:ln>
                <a:solidFill>
                  <a:srgbClr val="A169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325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C-E134-4A11-8DF7-9E83E0AAA91E}"/>
            </c:ext>
          </c:extLst>
        </c:ser>
        <c:ser>
          <c:idx val="19"/>
          <c:order val="1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573D5"/>
              </a:solidFill>
              <a:ln>
                <a:solidFill>
                  <a:srgbClr val="A573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D-E134-4A11-8DF7-9E83E0AAA91E}"/>
            </c:ext>
          </c:extLst>
        </c:ser>
        <c:ser>
          <c:idx val="20"/>
          <c:order val="2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A7CD6"/>
              </a:solidFill>
              <a:ln>
                <a:solidFill>
                  <a:srgbClr val="AA7CD6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425</c:v>
              </c:pt>
              <c:pt idx="1">
                <c:v>25</c:v>
              </c:pt>
            </c:numLit>
          </c:xVal>
          <c:yVal>
            <c:numLit>
              <c:formatCode>General</c:formatCode>
              <c:ptCount val="2"/>
              <c:pt idx="0">
                <c:v>75</c:v>
              </c:pt>
              <c:pt idx="1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E-E134-4A11-8DF7-9E83E0AAA91E}"/>
            </c:ext>
          </c:extLst>
        </c:ser>
        <c:ser>
          <c:idx val="21"/>
          <c:order val="2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F85D6"/>
              </a:solidFill>
              <a:ln>
                <a:solidFill>
                  <a:srgbClr val="AF85D6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475</c:v>
              </c:pt>
              <c:pt idx="1">
                <c:v>75</c:v>
              </c:pt>
            </c:numLit>
          </c:xVal>
          <c:yVal>
            <c:numLit>
              <c:formatCode>General</c:formatCode>
              <c:ptCount val="2"/>
              <c:pt idx="0">
                <c:v>75</c:v>
              </c:pt>
              <c:pt idx="1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8F-E134-4A11-8DF7-9E83E0AAA91E}"/>
            </c:ext>
          </c:extLst>
        </c:ser>
        <c:ser>
          <c:idx val="22"/>
          <c:order val="2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48ED7"/>
              </a:solidFill>
              <a:ln>
                <a:solidFill>
                  <a:srgbClr val="B48E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525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0-E134-4A11-8DF7-9E83E0AAA91E}"/>
            </c:ext>
          </c:extLst>
        </c:ser>
        <c:ser>
          <c:idx val="23"/>
          <c:order val="2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898D7"/>
              </a:solidFill>
              <a:ln>
                <a:solidFill>
                  <a:srgbClr val="B898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575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1-E134-4A11-8DF7-9E83E0AAA91E}"/>
            </c:ext>
          </c:extLst>
        </c:ser>
        <c:ser>
          <c:idx val="24"/>
          <c:order val="2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8C41D3"/>
              </a:solidFill>
              <a:ln>
                <a:solidFill>
                  <a:srgbClr val="8C41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2-E134-4A11-8DF7-9E83E0AAA91E}"/>
            </c:ext>
          </c:extLst>
        </c:ser>
        <c:ser>
          <c:idx val="25"/>
          <c:order val="2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14AD4"/>
              </a:solidFill>
              <a:ln>
                <a:solidFill>
                  <a:srgbClr val="914A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3-E134-4A11-8DF7-9E83E0AAA91E}"/>
            </c:ext>
          </c:extLst>
        </c:ser>
        <c:ser>
          <c:idx val="26"/>
          <c:order val="2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553D4"/>
              </a:solidFill>
              <a:ln>
                <a:solidFill>
                  <a:srgbClr val="9553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4-E134-4A11-8DF7-9E83E0AAA91E}"/>
            </c:ext>
          </c:extLst>
        </c:ser>
        <c:ser>
          <c:idx val="27"/>
          <c:order val="2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A5CD5"/>
              </a:solidFill>
              <a:ln>
                <a:solidFill>
                  <a:srgbClr val="9A5C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5-E134-4A11-8DF7-9E83E0AAA91E}"/>
            </c:ext>
          </c:extLst>
        </c:ser>
        <c:ser>
          <c:idx val="28"/>
          <c:order val="2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F66D5"/>
              </a:solidFill>
              <a:ln>
                <a:solidFill>
                  <a:srgbClr val="9F66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6-E134-4A11-8DF7-9E83E0AAA91E}"/>
            </c:ext>
          </c:extLst>
        </c:ser>
        <c:ser>
          <c:idx val="29"/>
          <c:order val="2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46FD5"/>
              </a:solidFill>
              <a:ln>
                <a:solidFill>
                  <a:srgbClr val="A46F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275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7-E134-4A11-8DF7-9E83E0AAA91E}"/>
            </c:ext>
          </c:extLst>
        </c:ser>
        <c:ser>
          <c:idx val="30"/>
          <c:order val="3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878D6"/>
              </a:solidFill>
              <a:ln>
                <a:solidFill>
                  <a:srgbClr val="A878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325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8-E134-4A11-8DF7-9E83E0AAA91E}"/>
            </c:ext>
          </c:extLst>
        </c:ser>
        <c:ser>
          <c:idx val="31"/>
          <c:order val="3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D81D6"/>
              </a:solidFill>
              <a:ln>
                <a:solidFill>
                  <a:srgbClr val="AD81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9-E134-4A11-8DF7-9E83E0AAA91E}"/>
            </c:ext>
          </c:extLst>
        </c:ser>
        <c:ser>
          <c:idx val="32"/>
          <c:order val="3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28BD7"/>
              </a:solidFill>
              <a:ln>
                <a:solidFill>
                  <a:srgbClr val="B28B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425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A-E134-4A11-8DF7-9E83E0AAA91E}"/>
            </c:ext>
          </c:extLst>
        </c:ser>
        <c:ser>
          <c:idx val="33"/>
          <c:order val="3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694D7"/>
              </a:solidFill>
              <a:ln>
                <a:solidFill>
                  <a:srgbClr val="B694D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475</c:v>
              </c:pt>
              <c:pt idx="1">
                <c:v>75</c:v>
              </c:pt>
            </c:numLit>
          </c:xVal>
          <c:yVal>
            <c:numLit>
              <c:formatCode>General</c:formatCode>
              <c:ptCount val="2"/>
              <c:pt idx="0">
                <c:v>125</c:v>
              </c:pt>
              <c:pt idx="1">
                <c:v>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B-E134-4A11-8DF7-9E83E0AAA91E}"/>
            </c:ext>
          </c:extLst>
        </c:ser>
        <c:ser>
          <c:idx val="34"/>
          <c:order val="3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B9DD7"/>
              </a:solidFill>
              <a:ln>
                <a:solidFill>
                  <a:srgbClr val="BB9DD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525</c:v>
              </c:pt>
              <c:pt idx="1">
                <c:v>125</c:v>
              </c:pt>
            </c:numLit>
          </c:xVal>
          <c:yVal>
            <c:numLit>
              <c:formatCode>General</c:formatCode>
              <c:ptCount val="2"/>
              <c:pt idx="0">
                <c:v>125</c:v>
              </c:pt>
              <c:pt idx="1">
                <c:v>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C-E134-4A11-8DF7-9E83E0AAA91E}"/>
            </c:ext>
          </c:extLst>
        </c:ser>
        <c:ser>
          <c:idx val="35"/>
          <c:order val="3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0A6D8"/>
              </a:solidFill>
              <a:ln>
                <a:solidFill>
                  <a:srgbClr val="C0A6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575</c:v>
              </c:pt>
              <c:pt idx="1">
                <c:v>175</c:v>
              </c:pt>
            </c:numLit>
          </c:xVal>
          <c:yVal>
            <c:numLit>
              <c:formatCode>General</c:formatCode>
              <c:ptCount val="2"/>
              <c:pt idx="0">
                <c:v>125</c:v>
              </c:pt>
              <c:pt idx="1">
                <c:v>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D-E134-4A11-8DF7-9E83E0AAA91E}"/>
            </c:ext>
          </c:extLst>
        </c:ser>
        <c:ser>
          <c:idx val="36"/>
          <c:order val="3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44FD4"/>
              </a:solidFill>
              <a:ln>
                <a:solidFill>
                  <a:srgbClr val="944F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E-E134-4A11-8DF7-9E83E0AAA91E}"/>
            </c:ext>
          </c:extLst>
        </c:ser>
        <c:ser>
          <c:idx val="37"/>
          <c:order val="3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859D4"/>
              </a:solidFill>
              <a:ln>
                <a:solidFill>
                  <a:srgbClr val="9859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9F-E134-4A11-8DF7-9E83E0AAA91E}"/>
            </c:ext>
          </c:extLst>
        </c:ser>
        <c:ser>
          <c:idx val="38"/>
          <c:order val="3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D62D5"/>
              </a:solidFill>
              <a:ln>
                <a:solidFill>
                  <a:srgbClr val="9D62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0-E134-4A11-8DF7-9E83E0AAA91E}"/>
            </c:ext>
          </c:extLst>
        </c:ser>
        <c:ser>
          <c:idx val="39"/>
          <c:order val="3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26BD5"/>
              </a:solidFill>
              <a:ln>
                <a:solidFill>
                  <a:srgbClr val="A26B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1-E134-4A11-8DF7-9E83E0AAA91E}"/>
            </c:ext>
          </c:extLst>
        </c:ser>
        <c:ser>
          <c:idx val="40"/>
          <c:order val="4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674D6"/>
              </a:solidFill>
              <a:ln>
                <a:solidFill>
                  <a:srgbClr val="A674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2-E134-4A11-8DF7-9E83E0AAA91E}"/>
            </c:ext>
          </c:extLst>
        </c:ser>
        <c:ser>
          <c:idx val="41"/>
          <c:order val="4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B7ED6"/>
              </a:solidFill>
              <a:ln>
                <a:solidFill>
                  <a:srgbClr val="AB7E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275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3-E134-4A11-8DF7-9E83E0AAA91E}"/>
            </c:ext>
          </c:extLst>
        </c:ser>
        <c:ser>
          <c:idx val="42"/>
          <c:order val="4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087D6"/>
              </a:solidFill>
              <a:ln>
                <a:solidFill>
                  <a:srgbClr val="B087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325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4-E134-4A11-8DF7-9E83E0AAA91E}"/>
            </c:ext>
          </c:extLst>
        </c:ser>
        <c:ser>
          <c:idx val="43"/>
          <c:order val="4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490D7"/>
              </a:solidFill>
              <a:ln>
                <a:solidFill>
                  <a:srgbClr val="B490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5-E134-4A11-8DF7-9E83E0AAA91E}"/>
            </c:ext>
          </c:extLst>
        </c:ser>
        <c:ser>
          <c:idx val="44"/>
          <c:order val="4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999D7"/>
              </a:solidFill>
              <a:ln>
                <a:solidFill>
                  <a:srgbClr val="B999D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425</c:v>
              </c:pt>
              <c:pt idx="1">
                <c:v>25</c:v>
              </c:pt>
            </c:numLit>
          </c:xVal>
          <c:yVal>
            <c:numLit>
              <c:formatCode>General</c:formatCode>
              <c:ptCount val="2"/>
              <c:pt idx="0">
                <c:v>175</c:v>
              </c:pt>
              <c:pt idx="1">
                <c:v>425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6-E134-4A11-8DF7-9E83E0AAA91E}"/>
            </c:ext>
          </c:extLst>
        </c:ser>
        <c:ser>
          <c:idx val="45"/>
          <c:order val="4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EA3D8"/>
              </a:solidFill>
              <a:ln>
                <a:solidFill>
                  <a:srgbClr val="BEA3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475</c:v>
              </c:pt>
              <c:pt idx="1">
                <c:v>75</c:v>
              </c:pt>
            </c:numLit>
          </c:xVal>
          <c:yVal>
            <c:numLit>
              <c:formatCode>General</c:formatCode>
              <c:ptCount val="2"/>
              <c:pt idx="0">
                <c:v>175</c:v>
              </c:pt>
              <c:pt idx="1">
                <c:v>425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7-E134-4A11-8DF7-9E83E0AAA91E}"/>
            </c:ext>
          </c:extLst>
        </c:ser>
        <c:ser>
          <c:idx val="46"/>
          <c:order val="4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3ACD8"/>
              </a:solidFill>
              <a:ln>
                <a:solidFill>
                  <a:srgbClr val="C3AC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525</c:v>
              </c:pt>
              <c:pt idx="1">
                <c:v>125</c:v>
              </c:pt>
            </c:numLit>
          </c:xVal>
          <c:yVal>
            <c:numLit>
              <c:formatCode>General</c:formatCode>
              <c:ptCount val="2"/>
              <c:pt idx="0">
                <c:v>175</c:v>
              </c:pt>
              <c:pt idx="1">
                <c:v>425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8-E134-4A11-8DF7-9E83E0AAA91E}"/>
            </c:ext>
          </c:extLst>
        </c:ser>
        <c:ser>
          <c:idx val="47"/>
          <c:order val="4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7B5D8"/>
              </a:solidFill>
              <a:ln>
                <a:solidFill>
                  <a:srgbClr val="C7B5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575</c:v>
              </c:pt>
              <c:pt idx="1">
                <c:v>175</c:v>
              </c:pt>
            </c:numLit>
          </c:xVal>
          <c:yVal>
            <c:numLit>
              <c:formatCode>General</c:formatCode>
              <c:ptCount val="2"/>
              <c:pt idx="0">
                <c:v>175</c:v>
              </c:pt>
              <c:pt idx="1">
                <c:v>425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9-E134-4A11-8DF7-9E83E0AAA91E}"/>
            </c:ext>
          </c:extLst>
        </c:ser>
        <c:ser>
          <c:idx val="48"/>
          <c:order val="4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B5ED5"/>
              </a:solidFill>
              <a:ln>
                <a:solidFill>
                  <a:srgbClr val="9B5E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A-E134-4A11-8DF7-9E83E0AAA91E}"/>
            </c:ext>
          </c:extLst>
        </c:ser>
        <c:ser>
          <c:idx val="49"/>
          <c:order val="4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067D5"/>
              </a:solidFill>
              <a:ln>
                <a:solidFill>
                  <a:srgbClr val="A067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B-E134-4A11-8DF7-9E83E0AAA91E}"/>
            </c:ext>
          </c:extLst>
        </c:ser>
        <c:ser>
          <c:idx val="50"/>
          <c:order val="5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471D5"/>
              </a:solidFill>
              <a:ln>
                <a:solidFill>
                  <a:srgbClr val="A471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C-E134-4A11-8DF7-9E83E0AAA91E}"/>
            </c:ext>
          </c:extLst>
        </c:ser>
        <c:ser>
          <c:idx val="51"/>
          <c:order val="5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97AD6"/>
              </a:solidFill>
              <a:ln>
                <a:solidFill>
                  <a:srgbClr val="A97A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D-E134-4A11-8DF7-9E83E0AAA91E}"/>
            </c:ext>
          </c:extLst>
        </c:ser>
        <c:ser>
          <c:idx val="52"/>
          <c:order val="5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E83D6"/>
              </a:solidFill>
              <a:ln>
                <a:solidFill>
                  <a:srgbClr val="AE83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E-E134-4A11-8DF7-9E83E0AAA91E}"/>
            </c:ext>
          </c:extLst>
        </c:ser>
        <c:ser>
          <c:idx val="53"/>
          <c:order val="5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38CD7"/>
              </a:solidFill>
              <a:ln>
                <a:solidFill>
                  <a:srgbClr val="B38C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275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AF-E134-4A11-8DF7-9E83E0AAA91E}"/>
            </c:ext>
          </c:extLst>
        </c:ser>
        <c:ser>
          <c:idx val="54"/>
          <c:order val="5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796D7"/>
              </a:solidFill>
              <a:ln>
                <a:solidFill>
                  <a:srgbClr val="B796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325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0-E134-4A11-8DF7-9E83E0AAA91E}"/>
            </c:ext>
          </c:extLst>
        </c:ser>
        <c:ser>
          <c:idx val="55"/>
          <c:order val="5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C9FD7"/>
              </a:solidFill>
              <a:ln>
                <a:solidFill>
                  <a:srgbClr val="BC9F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1-E134-4A11-8DF7-9E83E0AAA91E}"/>
            </c:ext>
          </c:extLst>
        </c:ser>
        <c:ser>
          <c:idx val="56"/>
          <c:order val="5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1A8D8"/>
              </a:solidFill>
              <a:ln>
                <a:solidFill>
                  <a:srgbClr val="C1A8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425</c:v>
              </c:pt>
              <c:pt idx="1">
                <c:v>25</c:v>
              </c:pt>
            </c:numLit>
          </c:xVal>
          <c:yVal>
            <c:numLit>
              <c:formatCode>General</c:formatCode>
              <c:ptCount val="2"/>
              <c:pt idx="0">
                <c:v>225</c:v>
              </c:pt>
              <c:pt idx="1">
                <c:v>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2-E134-4A11-8DF7-9E83E0AAA91E}"/>
            </c:ext>
          </c:extLst>
        </c:ser>
        <c:ser>
          <c:idx val="57"/>
          <c:order val="5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5B1D8"/>
              </a:solidFill>
              <a:ln>
                <a:solidFill>
                  <a:srgbClr val="C5B1D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475</c:v>
              </c:pt>
              <c:pt idx="1">
                <c:v>75</c:v>
              </c:pt>
            </c:numLit>
          </c:xVal>
          <c:yVal>
            <c:numLit>
              <c:formatCode>General</c:formatCode>
              <c:ptCount val="2"/>
              <c:pt idx="0">
                <c:v>225</c:v>
              </c:pt>
              <c:pt idx="1">
                <c:v>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3-E134-4A11-8DF7-9E83E0AAA91E}"/>
            </c:ext>
          </c:extLst>
        </c:ser>
        <c:ser>
          <c:idx val="58"/>
          <c:order val="5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ABBD9"/>
              </a:solidFill>
              <a:ln>
                <a:solidFill>
                  <a:srgbClr val="CABBD9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525</c:v>
              </c:pt>
              <c:pt idx="1">
                <c:v>125</c:v>
              </c:pt>
            </c:numLit>
          </c:xVal>
          <c:yVal>
            <c:numLit>
              <c:formatCode>General</c:formatCode>
              <c:ptCount val="2"/>
              <c:pt idx="0">
                <c:v>225</c:v>
              </c:pt>
              <c:pt idx="1">
                <c:v>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4-E134-4A11-8DF7-9E83E0AAA91E}"/>
            </c:ext>
          </c:extLst>
        </c:ser>
        <c:ser>
          <c:idx val="59"/>
          <c:order val="5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FC4D9"/>
              </a:solidFill>
              <a:ln>
                <a:solidFill>
                  <a:srgbClr val="CFC4D9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575</c:v>
              </c:pt>
              <c:pt idx="1">
                <c:v>175</c:v>
              </c:pt>
            </c:numLit>
          </c:xVal>
          <c:yVal>
            <c:numLit>
              <c:formatCode>General</c:formatCode>
              <c:ptCount val="2"/>
              <c:pt idx="0">
                <c:v>225</c:v>
              </c:pt>
              <c:pt idx="1">
                <c:v>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5-E134-4A11-8DF7-9E83E0AAA91E}"/>
            </c:ext>
          </c:extLst>
        </c:ser>
        <c:ser>
          <c:idx val="60"/>
          <c:order val="6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C7FD6"/>
              </a:solidFill>
              <a:ln>
                <a:solidFill>
                  <a:srgbClr val="AC7F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275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6-E134-4A11-8DF7-9E83E0AAA91E}"/>
            </c:ext>
          </c:extLst>
        </c:ser>
        <c:ser>
          <c:idx val="61"/>
          <c:order val="6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592D7"/>
              </a:solidFill>
              <a:ln>
                <a:solidFill>
                  <a:srgbClr val="B592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275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7-E134-4A11-8DF7-9E83E0AAA91E}"/>
            </c:ext>
          </c:extLst>
        </c:ser>
        <c:ser>
          <c:idx val="62"/>
          <c:order val="6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38ED7"/>
              </a:solidFill>
              <a:ln>
                <a:solidFill>
                  <a:srgbClr val="B38E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8-E134-4A11-8DF7-9E83E0AAA91E}"/>
            </c:ext>
          </c:extLst>
        </c:ser>
        <c:ser>
          <c:idx val="63"/>
          <c:order val="6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897D7"/>
              </a:solidFill>
              <a:ln>
                <a:solidFill>
                  <a:srgbClr val="B897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9-E134-4A11-8DF7-9E83E0AAA91E}"/>
            </c:ext>
          </c:extLst>
        </c:ser>
        <c:ser>
          <c:idx val="64"/>
          <c:order val="6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DA1D7"/>
              </a:solidFill>
              <a:ln>
                <a:solidFill>
                  <a:srgbClr val="BDA1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A-E134-4A11-8DF7-9E83E0AAA91E}"/>
            </c:ext>
          </c:extLst>
        </c:ser>
        <c:ser>
          <c:idx val="65"/>
          <c:order val="6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28AD7"/>
              </a:solidFill>
              <a:ln>
                <a:solidFill>
                  <a:srgbClr val="B28A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B-E134-4A11-8DF7-9E83E0AAA91E}"/>
            </c:ext>
          </c:extLst>
        </c:ser>
        <c:ser>
          <c:idx val="66"/>
          <c:order val="6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4B0D8"/>
              </a:solidFill>
              <a:ln>
                <a:solidFill>
                  <a:srgbClr val="C4B0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C-E134-4A11-8DF7-9E83E0AAA91E}"/>
            </c:ext>
          </c:extLst>
        </c:ser>
        <c:ser>
          <c:idx val="67"/>
          <c:order val="6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CBED9"/>
              </a:solidFill>
              <a:ln>
                <a:solidFill>
                  <a:srgbClr val="CCBE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425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D-E134-4A11-8DF7-9E83E0AAA91E}"/>
            </c:ext>
          </c:extLst>
        </c:ser>
        <c:ser>
          <c:idx val="68"/>
          <c:order val="6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3CDD9"/>
              </a:solidFill>
              <a:ln>
                <a:solidFill>
                  <a:srgbClr val="D3CD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225</c:v>
              </c:pt>
            </c:numLit>
          </c:xVal>
          <c:yVal>
            <c:numLit>
              <c:formatCode>General</c:formatCode>
              <c:ptCount val="1"/>
              <c:pt idx="0">
                <c:v>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E-E134-4A11-8DF7-9E83E0AAA91E}"/>
            </c:ext>
          </c:extLst>
        </c:ser>
        <c:ser>
          <c:idx val="69"/>
          <c:order val="6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8B7D8"/>
              </a:solidFill>
              <a:ln>
                <a:solidFill>
                  <a:srgbClr val="C8B7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BF-E134-4A11-8DF7-9E83E0AAA91E}"/>
            </c:ext>
          </c:extLst>
        </c:ser>
        <c:ser>
          <c:idx val="70"/>
          <c:order val="7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DC0D9"/>
              </a:solidFill>
              <a:ln>
                <a:solidFill>
                  <a:srgbClr val="CDC0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0-E134-4A11-8DF7-9E83E0AAA91E}"/>
            </c:ext>
          </c:extLst>
        </c:ser>
        <c:ser>
          <c:idx val="71"/>
          <c:order val="7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2C9D9"/>
              </a:solidFill>
              <a:ln>
                <a:solidFill>
                  <a:srgbClr val="D2C9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1-E134-4A11-8DF7-9E83E0AAA91E}"/>
            </c:ext>
          </c:extLst>
        </c:ser>
        <c:ser>
          <c:idx val="72"/>
          <c:order val="7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6D3DA"/>
              </a:solidFill>
              <a:ln>
                <a:solidFill>
                  <a:srgbClr val="D6D3DA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2-E134-4A11-8DF7-9E83E0AAA91E}"/>
            </c:ext>
          </c:extLst>
        </c:ser>
        <c:ser>
          <c:idx val="73"/>
          <c:order val="73"/>
          <c:tx>
            <c:v>Concrete InactiveTensionConcrete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ADADA"/>
              </a:solidFill>
              <a:ln>
                <a:solidFill>
                  <a:srgbClr val="DADADA"/>
                </a:solidFill>
                <a:prstDash val="solid"/>
              </a:ln>
            </c:spPr>
          </c:marker>
          <c:xVal>
            <c:numLit>
              <c:formatCode>General</c:formatCode>
              <c:ptCount val="22"/>
              <c:pt idx="0">
                <c:v>225</c:v>
              </c:pt>
              <c:pt idx="1">
                <c:v>175</c:v>
              </c:pt>
              <c:pt idx="2">
                <c:v>225</c:v>
              </c:pt>
              <c:pt idx="3">
                <c:v>75</c:v>
              </c:pt>
              <c:pt idx="4">
                <c:v>125</c:v>
              </c:pt>
              <c:pt idx="5">
                <c:v>175</c:v>
              </c:pt>
              <c:pt idx="6">
                <c:v>225</c:v>
              </c:pt>
              <c:pt idx="7">
                <c:v>25</c:v>
              </c:pt>
              <c:pt idx="8">
                <c:v>75</c:v>
              </c:pt>
              <c:pt idx="9">
                <c:v>125</c:v>
              </c:pt>
              <c:pt idx="10">
                <c:v>175</c:v>
              </c:pt>
              <c:pt idx="11">
                <c:v>225</c:v>
              </c:pt>
              <c:pt idx="12">
                <c:v>25</c:v>
              </c:pt>
              <c:pt idx="13">
                <c:v>75</c:v>
              </c:pt>
              <c:pt idx="14">
                <c:v>125</c:v>
              </c:pt>
              <c:pt idx="15">
                <c:v>175</c:v>
              </c:pt>
              <c:pt idx="16">
                <c:v>225</c:v>
              </c:pt>
              <c:pt idx="17">
                <c:v>25</c:v>
              </c:pt>
              <c:pt idx="18">
                <c:v>75</c:v>
              </c:pt>
              <c:pt idx="19">
                <c:v>125</c:v>
              </c:pt>
              <c:pt idx="20">
                <c:v>175</c:v>
              </c:pt>
              <c:pt idx="21">
                <c:v>225</c:v>
              </c:pt>
            </c:numLit>
          </c:xVal>
          <c:yVal>
            <c:numLit>
              <c:formatCode>General</c:formatCode>
              <c:ptCount val="22"/>
              <c:pt idx="0">
                <c:v>525</c:v>
              </c:pt>
              <c:pt idx="1">
                <c:v>575</c:v>
              </c:pt>
              <c:pt idx="2">
                <c:v>575</c:v>
              </c:pt>
              <c:pt idx="3">
                <c:v>625</c:v>
              </c:pt>
              <c:pt idx="4">
                <c:v>625</c:v>
              </c:pt>
              <c:pt idx="5">
                <c:v>625</c:v>
              </c:pt>
              <c:pt idx="6">
                <c:v>625</c:v>
              </c:pt>
              <c:pt idx="7">
                <c:v>675</c:v>
              </c:pt>
              <c:pt idx="8">
                <c:v>675</c:v>
              </c:pt>
              <c:pt idx="9">
                <c:v>675</c:v>
              </c:pt>
              <c:pt idx="10">
                <c:v>675</c:v>
              </c:pt>
              <c:pt idx="11">
                <c:v>675</c:v>
              </c:pt>
              <c:pt idx="12">
                <c:v>725</c:v>
              </c:pt>
              <c:pt idx="13">
                <c:v>725</c:v>
              </c:pt>
              <c:pt idx="14">
                <c:v>725</c:v>
              </c:pt>
              <c:pt idx="15">
                <c:v>725</c:v>
              </c:pt>
              <c:pt idx="16">
                <c:v>725</c:v>
              </c:pt>
              <c:pt idx="17">
                <c:v>775</c:v>
              </c:pt>
              <c:pt idx="18">
                <c:v>775</c:v>
              </c:pt>
              <c:pt idx="19">
                <c:v>775</c:v>
              </c:pt>
              <c:pt idx="20">
                <c:v>775</c:v>
              </c:pt>
              <c:pt idx="21">
                <c:v>775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3-E134-4A11-8DF7-9E83E0AAA91E}"/>
            </c:ext>
          </c:extLst>
        </c:ser>
        <c:ser>
          <c:idx val="74"/>
          <c:order val="7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0C6D9"/>
              </a:solidFill>
              <a:ln>
                <a:solidFill>
                  <a:srgbClr val="D0C6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575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4-E134-4A11-8DF7-9E83E0AAA91E}"/>
            </c:ext>
          </c:extLst>
        </c:ser>
        <c:ser>
          <c:idx val="75"/>
          <c:order val="7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4CFDA"/>
              </a:solidFill>
              <a:ln>
                <a:solidFill>
                  <a:srgbClr val="D4CFDA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575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5-E134-4A11-8DF7-9E83E0AAA91E}"/>
            </c:ext>
          </c:extLst>
        </c:ser>
        <c:ser>
          <c:idx val="76"/>
          <c:order val="7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9D8DA"/>
              </a:solidFill>
              <a:ln>
                <a:solidFill>
                  <a:srgbClr val="D9D8DA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575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6-E134-4A11-8DF7-9E83E0AAA91E}"/>
            </c:ext>
          </c:extLst>
        </c:ser>
        <c:ser>
          <c:idx val="77"/>
          <c:order val="7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7D4DA"/>
              </a:solidFill>
              <a:ln>
                <a:solidFill>
                  <a:srgbClr val="D7D4DA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625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7-E134-4A11-8DF7-9E83E0AAA91E}"/>
            </c:ext>
          </c:extLst>
        </c:ser>
        <c:ser>
          <c:idx val="78"/>
          <c:order val="78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B6BF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8-E134-4A11-8DF7-9E83E0AAA91E}"/>
            </c:ext>
          </c:extLst>
        </c:ser>
        <c:ser>
          <c:idx val="79"/>
          <c:order val="79"/>
          <c:tx>
            <c:v>Rebar Compression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AEBA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501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9-E134-4A11-8DF7-9E83E0AAA91E}"/>
            </c:ext>
          </c:extLst>
        </c:ser>
        <c:ser>
          <c:idx val="80"/>
          <c:order val="80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96A8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427.5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A-E134-4A11-8DF7-9E83E0AAA91E}"/>
            </c:ext>
          </c:extLst>
        </c:ser>
        <c:ser>
          <c:idx val="81"/>
          <c:order val="81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6D7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622.5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B-E134-4A11-8DF7-9E83E0AAA91E}"/>
            </c:ext>
          </c:extLst>
        </c:ser>
        <c:ser>
          <c:idx val="82"/>
          <c:order val="82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7590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330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C-E134-4A11-8DF7-9E83E0AAA91E}"/>
            </c:ext>
          </c:extLst>
        </c:ser>
        <c:ser>
          <c:idx val="83"/>
          <c:order val="83"/>
          <c:tx>
            <c:v>Rebar Compression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6E8A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306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D-E134-4A11-8DF7-9E83E0AAA91E}"/>
            </c:ext>
          </c:extLst>
        </c:ser>
        <c:ser>
          <c:idx val="84"/>
          <c:order val="84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78C88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720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E-E134-4A11-8DF7-9E83E0AAA91E}"/>
            </c:ext>
          </c:extLst>
        </c:ser>
        <c:ser>
          <c:idx val="85"/>
          <c:order val="85"/>
          <c:tx>
            <c:v>Rebar Tension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D8A29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696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CF-E134-4A11-8DF7-9E83E0AAA91E}"/>
            </c:ext>
          </c:extLst>
        </c:ser>
        <c:ser>
          <c:idx val="86"/>
          <c:order val="86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9D9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0-E134-4A11-8DF7-9E83E0AAA91E}"/>
            </c:ext>
          </c:extLst>
        </c:ser>
        <c:ser>
          <c:idx val="87"/>
          <c:order val="87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684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622.5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1-E134-4A11-8DF7-9E83E0AAA91E}"/>
            </c:ext>
          </c:extLst>
        </c:ser>
        <c:ser>
          <c:idx val="88"/>
          <c:order val="88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B9C2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427.5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2-E134-4A11-8DF7-9E83E0AAA91E}"/>
            </c:ext>
          </c:extLst>
        </c:ser>
        <c:ser>
          <c:idx val="89"/>
          <c:order val="89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32C22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720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3-E134-4A11-8DF7-9E83E0AAA91E}"/>
            </c:ext>
          </c:extLst>
        </c:ser>
        <c:ser>
          <c:idx val="90"/>
          <c:order val="90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99AA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330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4-E134-4A11-8DF7-9E83E0AAA91E}"/>
            </c:ext>
          </c:extLst>
        </c:ser>
        <c:ser>
          <c:idx val="91"/>
          <c:order val="91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4514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80</c:v>
              </c:pt>
            </c:numLit>
          </c:xVal>
          <c:yVal>
            <c:numLit>
              <c:formatCode>General</c:formatCode>
              <c:ptCount val="1"/>
              <c:pt idx="0">
                <c:v>760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5-E134-4A11-8DF7-9E83E0AAA91E}"/>
            </c:ext>
          </c:extLst>
        </c:ser>
        <c:ser>
          <c:idx val="92"/>
          <c:order val="92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21E1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170</c:v>
              </c:pt>
            </c:numLit>
          </c:xVal>
          <c:yVal>
            <c:numLit>
              <c:formatCode>General</c:formatCode>
              <c:ptCount val="1"/>
              <c:pt idx="0">
                <c:v>760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6-E134-4A11-8DF7-9E83E0AAA91E}"/>
            </c:ext>
          </c:extLst>
        </c:ser>
        <c:ser>
          <c:idx val="93"/>
          <c:order val="93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839A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170</c:v>
              </c:pt>
            </c:numLit>
          </c:xVal>
          <c:yVal>
            <c:numLit>
              <c:formatCode>General</c:formatCode>
              <c:ptCount val="1"/>
              <c:pt idx="0">
                <c:v>290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7-E134-4A11-8DF7-9E83E0AAA91E}"/>
            </c:ext>
          </c:extLst>
        </c:ser>
        <c:ser>
          <c:idx val="94"/>
          <c:order val="94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718D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79.999999999999986</c:v>
              </c:pt>
            </c:numLit>
          </c:xVal>
          <c:yVal>
            <c:numLit>
              <c:formatCode>General</c:formatCode>
              <c:ptCount val="1"/>
              <c:pt idx="0">
                <c:v>290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8-E134-4A11-8DF7-9E83E0AAA91E}"/>
            </c:ext>
          </c:extLst>
        </c:ser>
        <c:ser>
          <c:idx val="95"/>
          <c:order val="95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2354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9-E134-4A11-8DF7-9E83E0AAA91E}"/>
            </c:ext>
          </c:extLst>
        </c:ser>
        <c:ser>
          <c:idx val="96"/>
          <c:order val="96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4169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170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A-E134-4A11-8DF7-9E83E0AAA91E}"/>
            </c:ext>
          </c:extLst>
        </c:ser>
        <c:ser>
          <c:idx val="97"/>
          <c:order val="97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ACB8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560</c:v>
              </c:pt>
            </c:numLit>
          </c:xVal>
          <c:yVal>
            <c:numLit>
              <c:formatCode>General</c:formatCode>
              <c:ptCount val="1"/>
              <c:pt idx="0">
                <c:v>170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B-E134-4A11-8DF7-9E83E0AAA91E}"/>
            </c:ext>
          </c:extLst>
        </c:ser>
        <c:ser>
          <c:idx val="98"/>
          <c:order val="98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8EA3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560</c:v>
              </c:pt>
            </c:numLit>
          </c:xVal>
          <c:yVal>
            <c:numLit>
              <c:formatCode>General</c:formatCode>
              <c:ptCount val="1"/>
              <c:pt idx="0">
                <c:v>79.999999999999986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C-E134-4A11-8DF7-9E83E0AAA91E}"/>
            </c:ext>
          </c:extLst>
        </c:ser>
        <c:ser>
          <c:idx val="99"/>
          <c:order val="99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849B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D-E134-4A11-8DF7-9E83E0AAA91E}"/>
            </c:ext>
          </c:extLst>
        </c:ser>
        <c:ser>
          <c:idx val="100"/>
          <c:order val="100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6D8A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190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E-E134-4A11-8DF7-9E83E0AAA91E}"/>
            </c:ext>
          </c:extLst>
        </c:ser>
        <c:ser>
          <c:idx val="101"/>
          <c:order val="101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9AAB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DF-E134-4A11-8DF7-9E83E0AAA91E}"/>
            </c:ext>
          </c:extLst>
        </c:ser>
        <c:ser>
          <c:idx val="102"/>
          <c:order val="102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5679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0-E134-4A11-8DF7-9E83E0AAA91E}"/>
            </c:ext>
          </c:extLst>
        </c:ser>
        <c:ser>
          <c:idx val="103"/>
          <c:order val="103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B1BC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520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1-E134-4A11-8DF7-9E83E0AAA91E}"/>
            </c:ext>
          </c:extLst>
        </c:ser>
        <c:ser>
          <c:idx val="104"/>
          <c:order val="104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4B71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2-E134-4A11-8DF7-9E83E0AAA91E}"/>
            </c:ext>
          </c:extLst>
        </c:ser>
        <c:ser>
          <c:idx val="105"/>
          <c:order val="105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6282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3-E134-4A11-8DF7-9E83E0AAA91E}"/>
            </c:ext>
          </c:extLst>
        </c:ser>
        <c:ser>
          <c:idx val="106"/>
          <c:order val="106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3561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190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4-E134-4A11-8DF7-9E83E0AAA91E}"/>
            </c:ext>
          </c:extLst>
        </c:ser>
        <c:ser>
          <c:idx val="107"/>
          <c:order val="107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7993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520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5-E134-4A11-8DF7-9E83E0AAA91E}"/>
            </c:ext>
          </c:extLst>
        </c:ser>
        <c:ser>
          <c:idx val="108"/>
          <c:order val="108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1E50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79.999999999999986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6-E134-4A11-8DF7-9E83E0AAA91E}"/>
            </c:ext>
          </c:extLst>
        </c:ser>
        <c:ser>
          <c:idx val="109"/>
          <c:order val="109"/>
          <c:tx>
            <c:v>NDMPlot_NeutralAxis110</c:v>
          </c:tx>
          <c:spPr>
            <a:ln w="3175">
              <a:solidFill>
                <a:srgbClr val="696969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249.99999999999997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502.92254467831987</c:v>
              </c:pt>
              <c:pt idx="1">
                <c:v>659.51437361105468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7-E134-4A11-8DF7-9E83E0AAA91E}"/>
            </c:ext>
          </c:extLst>
        </c:ser>
        <c:ser>
          <c:idx val="110"/>
          <c:order val="110"/>
          <c:tx>
            <c:v>NDMPlot_Principal1111</c:v>
          </c:tx>
          <c:spPr>
            <a:ln w="317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-67.85886092191852</c:v>
              </c:pt>
              <c:pt idx="1">
                <c:v>490.56623709019794</c:v>
              </c:pt>
            </c:numLit>
          </c:xVal>
          <c:yVal>
            <c:numLit>
              <c:formatCode>General</c:formatCode>
              <c:ptCount val="2"/>
              <c:pt idx="0">
                <c:v>-262.75019444205697</c:v>
              </c:pt>
              <c:pt idx="1">
                <c:v>911.20100126846239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8-E134-4A11-8DF7-9E83E0AAA91E}"/>
            </c:ext>
          </c:extLst>
        </c:ser>
        <c:ser>
          <c:idx val="111"/>
          <c:order val="111"/>
          <c:tx>
            <c:v>NDMPlot_Principal2112</c:v>
          </c:tx>
          <c:spPr>
            <a:ln w="3175">
              <a:solidFill>
                <a:srgbClr val="000000"/>
              </a:solidFill>
              <a:prstDash val="dashDot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798.32928593939937</c:v>
              </c:pt>
              <c:pt idx="1">
                <c:v>-375.62190977111993</c:v>
              </c:pt>
            </c:numLit>
          </c:xVal>
          <c:yVal>
            <c:numLit>
              <c:formatCode>General</c:formatCode>
              <c:ptCount val="2"/>
              <c:pt idx="0">
                <c:v>45.012854407144438</c:v>
              </c:pt>
              <c:pt idx="1">
                <c:v>603.43795241926091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9-E134-4A11-8DF7-9E83E0AAA91E}"/>
            </c:ext>
          </c:extLst>
        </c:ser>
        <c:ser>
          <c:idx val="112"/>
          <c:order val="112"/>
          <c:tx>
            <c:v>NDMPlot_LoadPoint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FF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211.35368808413972</c:v>
              </c:pt>
            </c:numLit>
          </c:xVal>
          <c:yVal>
            <c:numLit>
              <c:formatCode>General</c:formatCode>
              <c:ptCount val="1"/>
              <c:pt idx="0">
                <c:v>324.22540341320268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3EA-E134-4A11-8DF7-9E83E0AAA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290672"/>
        <c:axId val="484291000"/>
      </c:scatterChart>
      <c:valAx>
        <c:axId val="484290672"/>
        <c:scaling>
          <c:orientation val="minMax"/>
          <c:max val="1056.9914529914531"/>
          <c:min val="-408.991452991453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484291000"/>
        <c:crosses val="autoZero"/>
        <c:crossBetween val="midCat"/>
      </c:valAx>
      <c:valAx>
        <c:axId val="484291000"/>
        <c:scaling>
          <c:orientation val="minMax"/>
          <c:max val="928"/>
          <c:min val="-144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48429067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2D616FE-4AC6-44BB-895A-50231F4F7800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BEB68939-6DD5-4B4D-B4FF-536BB5179C8B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61DE710E-CE6C-42FB-8221-96A49CE30D7C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40</xdr:col>
      <xdr:colOff>76200</xdr:colOff>
      <xdr:row>13</xdr:row>
      <xdr:rowOff>12700</xdr:rowOff>
    </xdr:to>
    <xdr:sp macro="UpdateSectionPlot" textlink="">
      <xdr:nvSpPr>
        <xdr:cNvPr id="5" name="btnUpdateSectionPlot">
          <a:extLst>
            <a:ext uri="{FF2B5EF4-FFF2-40B4-BE49-F238E27FC236}">
              <a16:creationId xmlns:a16="http://schemas.microsoft.com/office/drawing/2014/main" id="{3A80D248-9FCF-40E1-9C8B-DC08A1B42503}"/>
            </a:ext>
          </a:extLst>
        </xdr:cNvPr>
        <xdr:cNvSpPr/>
      </xdr:nvSpPr>
      <xdr:spPr>
        <a:xfrm>
          <a:off x="11239500" y="2152650"/>
          <a:ext cx="1905000" cy="3556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6" name="chtNDMSectionPlot">
          <a:extLst>
            <a:ext uri="{FF2B5EF4-FFF2-40B4-BE49-F238E27FC236}">
              <a16:creationId xmlns:a16="http://schemas.microsoft.com/office/drawing/2014/main" id="{97046901-5C80-4050-A94F-93C0AC54E4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0.25677</cdr:x>
      <cdr:y>0.82432</cdr:y>
    </cdr:from>
    <cdr:to>
      <cdr:x>0.57621</cdr:x>
      <cdr:y>0.82432</cdr:y>
    </cdr:to>
    <cdr:cxnSp macro="">
      <cdr:nvCxnSpPr>
        <cdr:cNvPr id="594" name="NDMPlot_Contour1">
          <a:extLst xmlns:a="http://schemas.openxmlformats.org/drawingml/2006/main">
            <a:ext uri="{FF2B5EF4-FFF2-40B4-BE49-F238E27FC236}">
              <a16:creationId xmlns:a16="http://schemas.microsoft.com/office/drawing/2014/main" id="{11CE1B6E-8BC5-47A8-A79E-AB61171999FF}"/>
            </a:ext>
          </a:extLst>
        </cdr:cNvPr>
        <cdr:cNvCxnSpPr/>
      </cdr:nvCxnSpPr>
      <cdr:spPr>
        <a:xfrm xmlns:a="http://schemas.openxmlformats.org/drawingml/2006/main">
          <a:off x="2674014" y="5653206"/>
          <a:ext cx="3326641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0.57621</cdr:x>
      <cdr:y>0.62221</cdr:y>
    </cdr:from>
    <cdr:to>
      <cdr:x>0.57621</cdr:x>
      <cdr:y>0.82432</cdr:y>
    </cdr:to>
    <cdr:cxnSp macro="">
      <cdr:nvCxnSpPr>
        <cdr:cNvPr id="595" name="NDMPlot_Contour2">
          <a:extLst xmlns:a="http://schemas.openxmlformats.org/drawingml/2006/main">
            <a:ext uri="{FF2B5EF4-FFF2-40B4-BE49-F238E27FC236}">
              <a16:creationId xmlns:a16="http://schemas.microsoft.com/office/drawing/2014/main" id="{845B6113-42AA-4CA8-8243-90DB6C410F7A}"/>
            </a:ext>
          </a:extLst>
        </cdr:cNvPr>
        <cdr:cNvCxnSpPr/>
      </cdr:nvCxnSpPr>
      <cdr:spPr>
        <a:xfrm xmlns:a="http://schemas.openxmlformats.org/drawingml/2006/main" flipV="1">
          <a:off x="6000655" y="4267105"/>
          <a:ext cx="0" cy="138610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0.38987</cdr:x>
      <cdr:y>0.62221</cdr:y>
    </cdr:from>
    <cdr:to>
      <cdr:x>0.57621</cdr:x>
      <cdr:y>0.62221</cdr:y>
    </cdr:to>
    <cdr:cxnSp macro="">
      <cdr:nvCxnSpPr>
        <cdr:cNvPr id="596" name="NDMPlot_Contour3">
          <a:extLst xmlns:a="http://schemas.openxmlformats.org/drawingml/2006/main">
            <a:ext uri="{FF2B5EF4-FFF2-40B4-BE49-F238E27FC236}">
              <a16:creationId xmlns:a16="http://schemas.microsoft.com/office/drawing/2014/main" id="{5C5AE87B-E176-49E8-A0D3-559FF14C8449}"/>
            </a:ext>
          </a:extLst>
        </cdr:cNvPr>
        <cdr:cNvCxnSpPr/>
      </cdr:nvCxnSpPr>
      <cdr:spPr>
        <a:xfrm xmlns:a="http://schemas.openxmlformats.org/drawingml/2006/main" flipH="1">
          <a:off x="4060114" y="4267105"/>
          <a:ext cx="1940541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0.38987</cdr:x>
      <cdr:y>0.17756</cdr:y>
    </cdr:from>
    <cdr:to>
      <cdr:x>0.38987</cdr:x>
      <cdr:y>0.62221</cdr:y>
    </cdr:to>
    <cdr:cxnSp macro="">
      <cdr:nvCxnSpPr>
        <cdr:cNvPr id="597" name="NDMPlot_Contour4">
          <a:extLst xmlns:a="http://schemas.openxmlformats.org/drawingml/2006/main">
            <a:ext uri="{FF2B5EF4-FFF2-40B4-BE49-F238E27FC236}">
              <a16:creationId xmlns:a16="http://schemas.microsoft.com/office/drawing/2014/main" id="{33D18DA3-2D59-44D2-ABE3-4EEDEBE47EF6}"/>
            </a:ext>
          </a:extLst>
        </cdr:cNvPr>
        <cdr:cNvCxnSpPr/>
      </cdr:nvCxnSpPr>
      <cdr:spPr>
        <a:xfrm xmlns:a="http://schemas.openxmlformats.org/drawingml/2006/main" flipV="1">
          <a:off x="4060114" y="1217684"/>
          <a:ext cx="0" cy="304942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0.17756</cdr:y>
    </cdr:from>
    <cdr:to>
      <cdr:x>0.38987</cdr:x>
      <cdr:y>0.17756</cdr:y>
    </cdr:to>
    <cdr:cxnSp macro="">
      <cdr:nvCxnSpPr>
        <cdr:cNvPr id="598" name="NDMPlot_Contour5">
          <a:extLst xmlns:a="http://schemas.openxmlformats.org/drawingml/2006/main">
            <a:ext uri="{FF2B5EF4-FFF2-40B4-BE49-F238E27FC236}">
              <a16:creationId xmlns:a16="http://schemas.microsoft.com/office/drawing/2014/main" id="{D563EE0B-0C36-444C-B441-3E9CB5DDACD4}"/>
            </a:ext>
          </a:extLst>
        </cdr:cNvPr>
        <cdr:cNvCxnSpPr/>
      </cdr:nvCxnSpPr>
      <cdr:spPr>
        <a:xfrm xmlns:a="http://schemas.openxmlformats.org/drawingml/2006/main" flipH="1">
          <a:off x="2674014" y="1217684"/>
          <a:ext cx="1386100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0.17756</cdr:y>
    </cdr:from>
    <cdr:to>
      <cdr:x>0.25677</cdr:x>
      <cdr:y>0.82432</cdr:y>
    </cdr:to>
    <cdr:cxnSp macro="">
      <cdr:nvCxnSpPr>
        <cdr:cNvPr id="599" name="NDMPlot_Contour6">
          <a:extLst xmlns:a="http://schemas.openxmlformats.org/drawingml/2006/main">
            <a:ext uri="{FF2B5EF4-FFF2-40B4-BE49-F238E27FC236}">
              <a16:creationId xmlns:a16="http://schemas.microsoft.com/office/drawing/2014/main" id="{73D284ED-B27A-495F-9028-DF3F01E91629}"/>
            </a:ext>
          </a:extLst>
        </cdr:cNvPr>
        <cdr:cNvCxnSpPr/>
      </cdr:nvCxnSpPr>
      <cdr:spPr>
        <a:xfrm xmlns:a="http://schemas.openxmlformats.org/drawingml/2006/main">
          <a:off x="2674014" y="1217684"/>
          <a:ext cx="0" cy="44355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0.24612</cdr:x>
      <cdr:y>0.33052</cdr:y>
    </cdr:from>
    <cdr:to>
      <cdr:x>0.24612</cdr:x>
      <cdr:y>0.46925</cdr:y>
    </cdr:to>
    <cdr:cxnSp macro="">
      <cdr:nvCxnSpPr>
        <cdr:cNvPr id="600" name="NDMPlot_AnnotationLine7">
          <a:extLst xmlns:a="http://schemas.openxmlformats.org/drawingml/2006/main">
            <a:ext uri="{FF2B5EF4-FFF2-40B4-BE49-F238E27FC236}">
              <a16:creationId xmlns:a16="http://schemas.microsoft.com/office/drawing/2014/main" id="{DD4FF7F3-7017-4A9E-894E-E3115B9C613A}"/>
            </a:ext>
          </a:extLst>
        </cdr:cNvPr>
        <cdr:cNvCxnSpPr/>
      </cdr:nvCxnSpPr>
      <cdr:spPr>
        <a:xfrm xmlns:a="http://schemas.openxmlformats.org/drawingml/2006/main" flipV="1">
          <a:off x="2563125" y="2266685"/>
          <a:ext cx="0" cy="951419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0.22716</cdr:x>
      <cdr:y>0.26099</cdr:y>
    </cdr:from>
    <cdr:to>
      <cdr:x>0.24912</cdr:x>
      <cdr:y>0.53877</cdr:y>
    </cdr:to>
    <cdr:sp macro="" textlink="">
      <cdr:nvSpPr>
        <cdr:cNvPr id="601" name="NDMPlot_Text8">
          <a:extLst xmlns:a="http://schemas.openxmlformats.org/drawingml/2006/main">
            <a:ext uri="{FF2B5EF4-FFF2-40B4-BE49-F238E27FC236}">
              <a16:creationId xmlns:a16="http://schemas.microsoft.com/office/drawing/2014/main" id="{DBDA9D67-764D-46E8-91F0-5E50C8FC2F25}"/>
            </a:ext>
          </a:extLst>
        </cdr:cNvPr>
        <cdr:cNvSpPr txBox="1"/>
      </cdr:nvSpPr>
      <cdr:spPr>
        <a:xfrm xmlns:a="http://schemas.openxmlformats.org/drawingml/2006/main" rot="5400000">
          <a:off x="1527459" y="2628041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5Ø32 + 3Ø16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0.40052</cdr:x>
      <cdr:y>0.33052</cdr:y>
    </cdr:from>
    <cdr:to>
      <cdr:x>0.40052</cdr:x>
      <cdr:y>0.46925</cdr:y>
    </cdr:to>
    <cdr:cxnSp macro="">
      <cdr:nvCxnSpPr>
        <cdr:cNvPr id="602" name="NDMPlot_AnnotationLine9">
          <a:extLst xmlns:a="http://schemas.openxmlformats.org/drawingml/2006/main">
            <a:ext uri="{FF2B5EF4-FFF2-40B4-BE49-F238E27FC236}">
              <a16:creationId xmlns:a16="http://schemas.microsoft.com/office/drawing/2014/main" id="{89FCB519-5F9A-4799-96FC-C43C3DB2D531}"/>
            </a:ext>
          </a:extLst>
        </cdr:cNvPr>
        <cdr:cNvCxnSpPr/>
      </cdr:nvCxnSpPr>
      <cdr:spPr>
        <a:xfrm xmlns:a="http://schemas.openxmlformats.org/drawingml/2006/main">
          <a:off x="4171002" y="2266685"/>
          <a:ext cx="0" cy="951419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0.39752</cdr:x>
      <cdr:y>0.26099</cdr:y>
    </cdr:from>
    <cdr:to>
      <cdr:x>0.41949</cdr:x>
      <cdr:y>0.53877</cdr:y>
    </cdr:to>
    <cdr:sp macro="" textlink="">
      <cdr:nvSpPr>
        <cdr:cNvPr id="603" name="NDMPlot_Text10">
          <a:extLst xmlns:a="http://schemas.openxmlformats.org/drawingml/2006/main">
            <a:ext uri="{FF2B5EF4-FFF2-40B4-BE49-F238E27FC236}">
              <a16:creationId xmlns:a16="http://schemas.microsoft.com/office/drawing/2014/main" id="{955FA8C7-E614-48A7-B030-2AE1DA44FC0E}"/>
            </a:ext>
          </a:extLst>
        </cdr:cNvPr>
        <cdr:cNvSpPr txBox="1"/>
      </cdr:nvSpPr>
      <cdr:spPr>
        <a:xfrm xmlns:a="http://schemas.openxmlformats.org/drawingml/2006/main" rot="5400000">
          <a:off x="3301668" y="2628041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5Ø32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0.29161</cdr:x>
      <cdr:y>0.16139</cdr:y>
    </cdr:from>
    <cdr:to>
      <cdr:x>0.35503</cdr:x>
      <cdr:y>0.16139</cdr:y>
    </cdr:to>
    <cdr:cxnSp macro="">
      <cdr:nvCxnSpPr>
        <cdr:cNvPr id="604" name="NDMPlot_AnnotationLine11">
          <a:extLst xmlns:a="http://schemas.openxmlformats.org/drawingml/2006/main">
            <a:ext uri="{FF2B5EF4-FFF2-40B4-BE49-F238E27FC236}">
              <a16:creationId xmlns:a16="http://schemas.microsoft.com/office/drawing/2014/main" id="{5C6C2DF2-005C-4AB9-93C4-F436ADBD3876}"/>
            </a:ext>
          </a:extLst>
        </cdr:cNvPr>
        <cdr:cNvCxnSpPr/>
      </cdr:nvCxnSpPr>
      <cdr:spPr>
        <a:xfrm xmlns:a="http://schemas.openxmlformats.org/drawingml/2006/main">
          <a:off x="3036864" y="1106796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0.23186</cdr:x>
      <cdr:y>0.13259</cdr:y>
    </cdr:from>
    <cdr:to>
      <cdr:x>0.41478</cdr:x>
      <cdr:y>0.16594</cdr:y>
    </cdr:to>
    <cdr:sp macro="" textlink="">
      <cdr:nvSpPr>
        <cdr:cNvPr id="605" name="NDMPlot_Text12">
          <a:extLst xmlns:a="http://schemas.openxmlformats.org/drawingml/2006/main">
            <a:ext uri="{FF2B5EF4-FFF2-40B4-BE49-F238E27FC236}">
              <a16:creationId xmlns:a16="http://schemas.microsoft.com/office/drawing/2014/main" id="{0EC5BC9E-2D23-46CB-A25D-98ED0FB60A63}"/>
            </a:ext>
          </a:extLst>
        </cdr:cNvPr>
        <cdr:cNvSpPr txBox="1"/>
      </cdr:nvSpPr>
      <cdr:spPr>
        <a:xfrm xmlns:a="http://schemas.openxmlformats.org/drawingml/2006/main">
          <a:off x="2414564" y="909276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2Ø32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0.29161</cdr:x>
      <cdr:y>0.63838</cdr:y>
    </cdr:from>
    <cdr:to>
      <cdr:x>0.35503</cdr:x>
      <cdr:y>0.63838</cdr:y>
    </cdr:to>
    <cdr:cxnSp macro="">
      <cdr:nvCxnSpPr>
        <cdr:cNvPr id="606" name="NDMPlot_AnnotationLine13">
          <a:extLst xmlns:a="http://schemas.openxmlformats.org/drawingml/2006/main">
            <a:ext uri="{FF2B5EF4-FFF2-40B4-BE49-F238E27FC236}">
              <a16:creationId xmlns:a16="http://schemas.microsoft.com/office/drawing/2014/main" id="{25BF0377-F1E5-439B-8632-8F8CADEF1D4E}"/>
            </a:ext>
          </a:extLst>
        </cdr:cNvPr>
        <cdr:cNvCxnSpPr/>
      </cdr:nvCxnSpPr>
      <cdr:spPr>
        <a:xfrm xmlns:a="http://schemas.openxmlformats.org/drawingml/2006/main" flipH="1">
          <a:off x="3036864" y="4377993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0.23186</cdr:x>
      <cdr:y>0.63383</cdr:y>
    </cdr:from>
    <cdr:to>
      <cdr:x>0.41478</cdr:x>
      <cdr:y>0.66718</cdr:y>
    </cdr:to>
    <cdr:sp macro="" textlink="">
      <cdr:nvSpPr>
        <cdr:cNvPr id="607" name="NDMPlot_Text14">
          <a:extLst xmlns:a="http://schemas.openxmlformats.org/drawingml/2006/main">
            <a:ext uri="{FF2B5EF4-FFF2-40B4-BE49-F238E27FC236}">
              <a16:creationId xmlns:a16="http://schemas.microsoft.com/office/drawing/2014/main" id="{FE25444F-1C2C-419D-BCB5-45ACC0844F70}"/>
            </a:ext>
          </a:extLst>
        </cdr:cNvPr>
        <cdr:cNvSpPr txBox="1"/>
      </cdr:nvSpPr>
      <cdr:spPr>
        <a:xfrm xmlns:a="http://schemas.openxmlformats.org/drawingml/2006/main">
          <a:off x="2414564" y="4346806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2Ø32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0.24612</cdr:x>
      <cdr:y>0.67512</cdr:y>
    </cdr:from>
    <cdr:to>
      <cdr:x>0.24612</cdr:x>
      <cdr:y>0.77141</cdr:y>
    </cdr:to>
    <cdr:cxnSp macro="">
      <cdr:nvCxnSpPr>
        <cdr:cNvPr id="608" name="NDMPlot_AnnotationLine15">
          <a:extLst xmlns:a="http://schemas.openxmlformats.org/drawingml/2006/main">
            <a:ext uri="{FF2B5EF4-FFF2-40B4-BE49-F238E27FC236}">
              <a16:creationId xmlns:a16="http://schemas.microsoft.com/office/drawing/2014/main" id="{C189CEB0-5209-47E4-8D8B-B65FC783C5BD}"/>
            </a:ext>
          </a:extLst>
        </cdr:cNvPr>
        <cdr:cNvCxnSpPr/>
      </cdr:nvCxnSpPr>
      <cdr:spPr>
        <a:xfrm xmlns:a="http://schemas.openxmlformats.org/drawingml/2006/main" flipV="1">
          <a:off x="2563125" y="4629956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0.22716</cdr:x>
      <cdr:y>0.58438</cdr:y>
    </cdr:from>
    <cdr:to>
      <cdr:x>0.24912</cdr:x>
      <cdr:y>0.86215</cdr:y>
    </cdr:to>
    <cdr:sp macro="" textlink="">
      <cdr:nvSpPr>
        <cdr:cNvPr id="609" name="NDMPlot_Text16">
          <a:extLst xmlns:a="http://schemas.openxmlformats.org/drawingml/2006/main">
            <a:ext uri="{FF2B5EF4-FFF2-40B4-BE49-F238E27FC236}">
              <a16:creationId xmlns:a16="http://schemas.microsoft.com/office/drawing/2014/main" id="{0D25F2B3-1402-4D43-B504-38F1DF3DB8B8}"/>
            </a:ext>
          </a:extLst>
        </cdr:cNvPr>
        <cdr:cNvSpPr txBox="1"/>
      </cdr:nvSpPr>
      <cdr:spPr>
        <a:xfrm xmlns:a="http://schemas.openxmlformats.org/drawingml/2006/main" rot="5400000">
          <a:off x="1527459" y="4845802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2Ø32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0.58686</cdr:x>
      <cdr:y>0.67512</cdr:y>
    </cdr:from>
    <cdr:to>
      <cdr:x>0.58686</cdr:x>
      <cdr:y>0.77141</cdr:y>
    </cdr:to>
    <cdr:cxnSp macro="">
      <cdr:nvCxnSpPr>
        <cdr:cNvPr id="610" name="NDMPlot_AnnotationLine17">
          <a:extLst xmlns:a="http://schemas.openxmlformats.org/drawingml/2006/main">
            <a:ext uri="{FF2B5EF4-FFF2-40B4-BE49-F238E27FC236}">
              <a16:creationId xmlns:a16="http://schemas.microsoft.com/office/drawing/2014/main" id="{11E78E28-311B-4D1D-B403-117A25DD010F}"/>
            </a:ext>
          </a:extLst>
        </cdr:cNvPr>
        <cdr:cNvCxnSpPr/>
      </cdr:nvCxnSpPr>
      <cdr:spPr>
        <a:xfrm xmlns:a="http://schemas.openxmlformats.org/drawingml/2006/main">
          <a:off x="6111543" y="4629956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0.58386</cdr:x>
      <cdr:y>0.58438</cdr:y>
    </cdr:from>
    <cdr:to>
      <cdr:x>0.60583</cdr:x>
      <cdr:y>0.86215</cdr:y>
    </cdr:to>
    <cdr:sp macro="" textlink="">
      <cdr:nvSpPr>
        <cdr:cNvPr id="611" name="NDMPlot_Text18">
          <a:extLst xmlns:a="http://schemas.openxmlformats.org/drawingml/2006/main">
            <a:ext uri="{FF2B5EF4-FFF2-40B4-BE49-F238E27FC236}">
              <a16:creationId xmlns:a16="http://schemas.microsoft.com/office/drawing/2014/main" id="{479178E6-C6AC-48A8-9163-1802DA4D57B7}"/>
            </a:ext>
          </a:extLst>
        </cdr:cNvPr>
        <cdr:cNvSpPr txBox="1"/>
      </cdr:nvSpPr>
      <cdr:spPr>
        <a:xfrm xmlns:a="http://schemas.openxmlformats.org/drawingml/2006/main" rot="5400000">
          <a:off x="5242209" y="4845802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2Ø32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0.36495</cdr:x>
      <cdr:y>0.60604</cdr:y>
    </cdr:from>
    <cdr:to>
      <cdr:x>0.46803</cdr:x>
      <cdr:y>0.60604</cdr:y>
    </cdr:to>
    <cdr:cxnSp macro="">
      <cdr:nvCxnSpPr>
        <cdr:cNvPr id="612" name="NDMPlot_AnnotationLine19">
          <a:extLst xmlns:a="http://schemas.openxmlformats.org/drawingml/2006/main">
            <a:ext uri="{FF2B5EF4-FFF2-40B4-BE49-F238E27FC236}">
              <a16:creationId xmlns:a16="http://schemas.microsoft.com/office/drawing/2014/main" id="{336AE601-2CD1-4418-98CF-C3479D07BB2F}"/>
            </a:ext>
          </a:extLst>
        </cdr:cNvPr>
        <cdr:cNvCxnSpPr/>
      </cdr:nvCxnSpPr>
      <cdr:spPr>
        <a:xfrm xmlns:a="http://schemas.openxmlformats.org/drawingml/2006/main">
          <a:off x="3800636" y="4156217"/>
          <a:ext cx="107339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0.32503</cdr:x>
      <cdr:y>0.57724</cdr:y>
    </cdr:from>
    <cdr:to>
      <cdr:x>0.50795</cdr:x>
      <cdr:y>0.61059</cdr:y>
    </cdr:to>
    <cdr:sp macro="" textlink="">
      <cdr:nvSpPr>
        <cdr:cNvPr id="613" name="NDMPlot_Text20">
          <a:extLst xmlns:a="http://schemas.openxmlformats.org/drawingml/2006/main">
            <a:ext uri="{FF2B5EF4-FFF2-40B4-BE49-F238E27FC236}">
              <a16:creationId xmlns:a16="http://schemas.microsoft.com/office/drawing/2014/main" id="{DD7A52FB-D099-4680-A117-34849C7B1D26}"/>
            </a:ext>
          </a:extLst>
        </cdr:cNvPr>
        <cdr:cNvSpPr txBox="1"/>
      </cdr:nvSpPr>
      <cdr:spPr>
        <a:xfrm xmlns:a="http://schemas.openxmlformats.org/drawingml/2006/main">
          <a:off x="3384834" y="3958698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5Ø32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0.36495</cdr:x>
      <cdr:y>0.84049</cdr:y>
    </cdr:from>
    <cdr:to>
      <cdr:x>0.46803</cdr:x>
      <cdr:y>0.84049</cdr:y>
    </cdr:to>
    <cdr:cxnSp macro="">
      <cdr:nvCxnSpPr>
        <cdr:cNvPr id="614" name="NDMPlot_AnnotationLine21">
          <a:extLst xmlns:a="http://schemas.openxmlformats.org/drawingml/2006/main">
            <a:ext uri="{FF2B5EF4-FFF2-40B4-BE49-F238E27FC236}">
              <a16:creationId xmlns:a16="http://schemas.microsoft.com/office/drawing/2014/main" id="{20A9673C-0EFD-4A55-A03E-E93657DC487F}"/>
            </a:ext>
          </a:extLst>
        </cdr:cNvPr>
        <cdr:cNvCxnSpPr/>
      </cdr:nvCxnSpPr>
      <cdr:spPr>
        <a:xfrm xmlns:a="http://schemas.openxmlformats.org/drawingml/2006/main" flipH="1">
          <a:off x="3800636" y="5764094"/>
          <a:ext cx="107339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0.32503</cdr:x>
      <cdr:y>0.83594</cdr:y>
    </cdr:from>
    <cdr:to>
      <cdr:x>0.50795</cdr:x>
      <cdr:y>0.86929</cdr:y>
    </cdr:to>
    <cdr:sp macro="" textlink="">
      <cdr:nvSpPr>
        <cdr:cNvPr id="615" name="NDMPlot_Text22">
          <a:extLst xmlns:a="http://schemas.openxmlformats.org/drawingml/2006/main">
            <a:ext uri="{FF2B5EF4-FFF2-40B4-BE49-F238E27FC236}">
              <a16:creationId xmlns:a16="http://schemas.microsoft.com/office/drawing/2014/main" id="{71926EBF-3D0F-4DB7-BBD0-95DD35F078D8}"/>
            </a:ext>
          </a:extLst>
        </cdr:cNvPr>
        <cdr:cNvSpPr txBox="1"/>
      </cdr:nvSpPr>
      <cdr:spPr>
        <a:xfrm xmlns:a="http://schemas.openxmlformats.org/drawingml/2006/main">
          <a:off x="3384834" y="5732907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5Ø32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0.25677</cdr:x>
      <cdr:y>0.82432</cdr:y>
    </cdr:from>
    <cdr:to>
      <cdr:x>0.25677</cdr:x>
      <cdr:y>0.90517</cdr:y>
    </cdr:to>
    <cdr:cxnSp macro="">
      <cdr:nvCxnSpPr>
        <cdr:cNvPr id="616" name="NDMPlot_AnnotationLine23">
          <a:extLst xmlns:a="http://schemas.openxmlformats.org/drawingml/2006/main">
            <a:ext uri="{FF2B5EF4-FFF2-40B4-BE49-F238E27FC236}">
              <a16:creationId xmlns:a16="http://schemas.microsoft.com/office/drawing/2014/main" id="{B265DF91-AD9B-46EF-A53C-554B4BD81327}"/>
            </a:ext>
          </a:extLst>
        </cdr:cNvPr>
        <cdr:cNvCxnSpPr/>
      </cdr:nvCxnSpPr>
      <cdr:spPr>
        <a:xfrm xmlns:a="http://schemas.openxmlformats.org/drawingml/2006/main">
          <a:off x="2674014" y="5653206"/>
          <a:ext cx="0" cy="55444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0.57621</cdr:x>
      <cdr:y>0.82432</cdr:y>
    </cdr:from>
    <cdr:to>
      <cdr:x>0.57621</cdr:x>
      <cdr:y>0.90517</cdr:y>
    </cdr:to>
    <cdr:cxnSp macro="">
      <cdr:nvCxnSpPr>
        <cdr:cNvPr id="617" name="NDMPlot_AnnotationLine24">
          <a:extLst xmlns:a="http://schemas.openxmlformats.org/drawingml/2006/main">
            <a:ext uri="{FF2B5EF4-FFF2-40B4-BE49-F238E27FC236}">
              <a16:creationId xmlns:a16="http://schemas.microsoft.com/office/drawing/2014/main" id="{DE172630-CB38-4C46-82C2-01C5A3DBDE76}"/>
            </a:ext>
          </a:extLst>
        </cdr:cNvPr>
        <cdr:cNvCxnSpPr/>
      </cdr:nvCxnSpPr>
      <cdr:spPr>
        <a:xfrm xmlns:a="http://schemas.openxmlformats.org/drawingml/2006/main">
          <a:off x="6000655" y="5653206"/>
          <a:ext cx="0" cy="55444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0.90517</cdr:y>
    </cdr:from>
    <cdr:to>
      <cdr:x>0.57621</cdr:x>
      <cdr:y>0.90517</cdr:y>
    </cdr:to>
    <cdr:cxnSp macro="">
      <cdr:nvCxnSpPr>
        <cdr:cNvPr id="618" name="NDMPlot_AnnotationLine25">
          <a:extLst xmlns:a="http://schemas.openxmlformats.org/drawingml/2006/main">
            <a:ext uri="{FF2B5EF4-FFF2-40B4-BE49-F238E27FC236}">
              <a16:creationId xmlns:a16="http://schemas.microsoft.com/office/drawing/2014/main" id="{E2004A4C-47E2-4208-8234-9A301FB11BAF}"/>
            </a:ext>
          </a:extLst>
        </cdr:cNvPr>
        <cdr:cNvCxnSpPr/>
      </cdr:nvCxnSpPr>
      <cdr:spPr>
        <a:xfrm xmlns:a="http://schemas.openxmlformats.org/drawingml/2006/main">
          <a:off x="2674014" y="6207646"/>
          <a:ext cx="3326641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0.32503</cdr:x>
      <cdr:y>0.90062</cdr:y>
    </cdr:from>
    <cdr:to>
      <cdr:x>0.50795</cdr:x>
      <cdr:y>0.93397</cdr:y>
    </cdr:to>
    <cdr:sp macro="" textlink="">
      <cdr:nvSpPr>
        <cdr:cNvPr id="619" name="NDMPlot_Text26">
          <a:extLst xmlns:a="http://schemas.openxmlformats.org/drawingml/2006/main">
            <a:ext uri="{FF2B5EF4-FFF2-40B4-BE49-F238E27FC236}">
              <a16:creationId xmlns:a16="http://schemas.microsoft.com/office/drawing/2014/main" id="{64CE5621-47AD-4413-8B13-177448BAA07B}"/>
            </a:ext>
          </a:extLst>
        </cdr:cNvPr>
        <cdr:cNvSpPr txBox="1"/>
      </cdr:nvSpPr>
      <cdr:spPr>
        <a:xfrm xmlns:a="http://schemas.openxmlformats.org/drawingml/2006/main">
          <a:off x="3384834" y="6176459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B=600 mm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0.20353</cdr:x>
      <cdr:y>0.82432</cdr:y>
    </cdr:from>
    <cdr:to>
      <cdr:x>0.25677</cdr:x>
      <cdr:y>0.82432</cdr:y>
    </cdr:to>
    <cdr:cxnSp macro="">
      <cdr:nvCxnSpPr>
        <cdr:cNvPr id="620" name="NDMPlot_AnnotationLine27">
          <a:extLst xmlns:a="http://schemas.openxmlformats.org/drawingml/2006/main">
            <a:ext uri="{FF2B5EF4-FFF2-40B4-BE49-F238E27FC236}">
              <a16:creationId xmlns:a16="http://schemas.microsoft.com/office/drawing/2014/main" id="{E7C1CD0A-14B3-4BA3-8846-4AC98C6C9780}"/>
            </a:ext>
          </a:extLst>
        </cdr:cNvPr>
        <cdr:cNvCxnSpPr/>
      </cdr:nvCxnSpPr>
      <cdr:spPr>
        <a:xfrm xmlns:a="http://schemas.openxmlformats.org/drawingml/2006/main" flipH="1">
          <a:off x="2119573" y="5653206"/>
          <a:ext cx="554441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0.20353</cdr:x>
      <cdr:y>0.17756</cdr:y>
    </cdr:from>
    <cdr:to>
      <cdr:x>0.25677</cdr:x>
      <cdr:y>0.17756</cdr:y>
    </cdr:to>
    <cdr:cxnSp macro="">
      <cdr:nvCxnSpPr>
        <cdr:cNvPr id="621" name="NDMPlot_AnnotationLine28">
          <a:extLst xmlns:a="http://schemas.openxmlformats.org/drawingml/2006/main">
            <a:ext uri="{FF2B5EF4-FFF2-40B4-BE49-F238E27FC236}">
              <a16:creationId xmlns:a16="http://schemas.microsoft.com/office/drawing/2014/main" id="{EAFDE90D-D40D-4D44-A5E0-EE10A55432D7}"/>
            </a:ext>
          </a:extLst>
        </cdr:cNvPr>
        <cdr:cNvCxnSpPr/>
      </cdr:nvCxnSpPr>
      <cdr:spPr>
        <a:xfrm xmlns:a="http://schemas.openxmlformats.org/drawingml/2006/main" flipH="1">
          <a:off x="2119573" y="1217684"/>
          <a:ext cx="554441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0.20353</cdr:x>
      <cdr:y>0.17756</cdr:y>
    </cdr:from>
    <cdr:to>
      <cdr:x>0.20353</cdr:x>
      <cdr:y>0.82432</cdr:y>
    </cdr:to>
    <cdr:cxnSp macro="">
      <cdr:nvCxnSpPr>
        <cdr:cNvPr id="622" name="NDMPlot_AnnotationLine29">
          <a:extLst xmlns:a="http://schemas.openxmlformats.org/drawingml/2006/main">
            <a:ext uri="{FF2B5EF4-FFF2-40B4-BE49-F238E27FC236}">
              <a16:creationId xmlns:a16="http://schemas.microsoft.com/office/drawing/2014/main" id="{047E1197-8DBF-429C-8574-AE1BFDA41281}"/>
            </a:ext>
          </a:extLst>
        </cdr:cNvPr>
        <cdr:cNvCxnSpPr/>
      </cdr:nvCxnSpPr>
      <cdr:spPr>
        <a:xfrm xmlns:a="http://schemas.openxmlformats.org/drawingml/2006/main" flipV="1">
          <a:off x="2119573" y="1217684"/>
          <a:ext cx="0" cy="4435522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0.18456</cdr:x>
      <cdr:y>0.36205</cdr:y>
    </cdr:from>
    <cdr:to>
      <cdr:x>0.20653</cdr:x>
      <cdr:y>0.63983</cdr:y>
    </cdr:to>
    <cdr:sp macro="" textlink="">
      <cdr:nvSpPr>
        <cdr:cNvPr id="623" name="NDMPlot_Text30">
          <a:extLst xmlns:a="http://schemas.openxmlformats.org/drawingml/2006/main">
            <a:ext uri="{FF2B5EF4-FFF2-40B4-BE49-F238E27FC236}">
              <a16:creationId xmlns:a16="http://schemas.microsoft.com/office/drawing/2014/main" id="{57EC1BB7-51D0-4722-A2BF-108EBCE729EA}"/>
            </a:ext>
          </a:extLst>
        </cdr:cNvPr>
        <cdr:cNvSpPr txBox="1"/>
      </cdr:nvSpPr>
      <cdr:spPr>
        <a:xfrm xmlns:a="http://schemas.openxmlformats.org/drawingml/2006/main" rot="5400000">
          <a:off x="1083907" y="3321091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H=800 mm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0.25677</cdr:x>
      <cdr:y>0.09671</cdr:y>
    </cdr:from>
    <cdr:to>
      <cdr:x>0.25677</cdr:x>
      <cdr:y>0.17756</cdr:y>
    </cdr:to>
    <cdr:cxnSp macro="">
      <cdr:nvCxnSpPr>
        <cdr:cNvPr id="624" name="NDMPlot_AnnotationLine31">
          <a:extLst xmlns:a="http://schemas.openxmlformats.org/drawingml/2006/main">
            <a:ext uri="{FF2B5EF4-FFF2-40B4-BE49-F238E27FC236}">
              <a16:creationId xmlns:a16="http://schemas.microsoft.com/office/drawing/2014/main" id="{96375889-D151-4B5A-9258-7881D44631CC}"/>
            </a:ext>
          </a:extLst>
        </cdr:cNvPr>
        <cdr:cNvCxnSpPr/>
      </cdr:nvCxnSpPr>
      <cdr:spPr>
        <a:xfrm xmlns:a="http://schemas.openxmlformats.org/drawingml/2006/main" flipV="1">
          <a:off x="2674014" y="663243"/>
          <a:ext cx="0" cy="554441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0.38987</cdr:x>
      <cdr:y>0.09671</cdr:y>
    </cdr:from>
    <cdr:to>
      <cdr:x>0.38987</cdr:x>
      <cdr:y>0.17756</cdr:y>
    </cdr:to>
    <cdr:cxnSp macro="">
      <cdr:nvCxnSpPr>
        <cdr:cNvPr id="625" name="NDMPlot_AnnotationLine32">
          <a:extLst xmlns:a="http://schemas.openxmlformats.org/drawingml/2006/main">
            <a:ext uri="{FF2B5EF4-FFF2-40B4-BE49-F238E27FC236}">
              <a16:creationId xmlns:a16="http://schemas.microsoft.com/office/drawing/2014/main" id="{22263B13-C6B8-404A-8A78-DE107A754D44}"/>
            </a:ext>
          </a:extLst>
        </cdr:cNvPr>
        <cdr:cNvCxnSpPr/>
      </cdr:nvCxnSpPr>
      <cdr:spPr>
        <a:xfrm xmlns:a="http://schemas.openxmlformats.org/drawingml/2006/main" flipV="1">
          <a:off x="4060114" y="663243"/>
          <a:ext cx="0" cy="554441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0.09671</cdr:y>
    </cdr:from>
    <cdr:to>
      <cdr:x>0.38987</cdr:x>
      <cdr:y>0.09671</cdr:y>
    </cdr:to>
    <cdr:cxnSp macro="">
      <cdr:nvCxnSpPr>
        <cdr:cNvPr id="626" name="NDMPlot_AnnotationLine33">
          <a:extLst xmlns:a="http://schemas.openxmlformats.org/drawingml/2006/main">
            <a:ext uri="{FF2B5EF4-FFF2-40B4-BE49-F238E27FC236}">
              <a16:creationId xmlns:a16="http://schemas.microsoft.com/office/drawing/2014/main" id="{290EBAEF-9AE1-4342-B1FC-5B4991BDF1F8}"/>
            </a:ext>
          </a:extLst>
        </cdr:cNvPr>
        <cdr:cNvCxnSpPr/>
      </cdr:nvCxnSpPr>
      <cdr:spPr>
        <a:xfrm xmlns:a="http://schemas.openxmlformats.org/drawingml/2006/main">
          <a:off x="2674014" y="663243"/>
          <a:ext cx="1386100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0.23186</cdr:x>
      <cdr:y>0.06791</cdr:y>
    </cdr:from>
    <cdr:to>
      <cdr:x>0.41478</cdr:x>
      <cdr:y>0.10126</cdr:y>
    </cdr:to>
    <cdr:sp macro="" textlink="">
      <cdr:nvSpPr>
        <cdr:cNvPr id="627" name="NDMPlot_Text34">
          <a:extLst xmlns:a="http://schemas.openxmlformats.org/drawingml/2006/main">
            <a:ext uri="{FF2B5EF4-FFF2-40B4-BE49-F238E27FC236}">
              <a16:creationId xmlns:a16="http://schemas.microsoft.com/office/drawing/2014/main" id="{F6381D55-D8E1-4812-A4D6-92A247E70CB7}"/>
            </a:ext>
          </a:extLst>
        </cdr:cNvPr>
        <cdr:cNvSpPr txBox="1"/>
      </cdr:nvSpPr>
      <cdr:spPr>
        <a:xfrm xmlns:a="http://schemas.openxmlformats.org/drawingml/2006/main">
          <a:off x="2414564" y="465724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B1=250 mm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0.57621</cdr:x>
      <cdr:y>0.82432</cdr:y>
    </cdr:from>
    <cdr:to>
      <cdr:x>0.62945</cdr:x>
      <cdr:y>0.82432</cdr:y>
    </cdr:to>
    <cdr:cxnSp macro="">
      <cdr:nvCxnSpPr>
        <cdr:cNvPr id="628" name="NDMPlot_AnnotationLine35">
          <a:extLst xmlns:a="http://schemas.openxmlformats.org/drawingml/2006/main">
            <a:ext uri="{FF2B5EF4-FFF2-40B4-BE49-F238E27FC236}">
              <a16:creationId xmlns:a16="http://schemas.microsoft.com/office/drawing/2014/main" id="{C6BD8A89-783D-4142-A0DD-6C64C037694D}"/>
            </a:ext>
          </a:extLst>
        </cdr:cNvPr>
        <cdr:cNvCxnSpPr/>
      </cdr:nvCxnSpPr>
      <cdr:spPr>
        <a:xfrm xmlns:a="http://schemas.openxmlformats.org/drawingml/2006/main">
          <a:off x="6000655" y="5653206"/>
          <a:ext cx="554440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0.57621</cdr:x>
      <cdr:y>0.62221</cdr:y>
    </cdr:from>
    <cdr:to>
      <cdr:x>0.62945</cdr:x>
      <cdr:y>0.62221</cdr:y>
    </cdr:to>
    <cdr:cxnSp macro="">
      <cdr:nvCxnSpPr>
        <cdr:cNvPr id="629" name="NDMPlot_AnnotationLine36">
          <a:extLst xmlns:a="http://schemas.openxmlformats.org/drawingml/2006/main">
            <a:ext uri="{FF2B5EF4-FFF2-40B4-BE49-F238E27FC236}">
              <a16:creationId xmlns:a16="http://schemas.microsoft.com/office/drawing/2014/main" id="{22785E0D-0CDC-45E9-BE6D-A9C957664379}"/>
            </a:ext>
          </a:extLst>
        </cdr:cNvPr>
        <cdr:cNvCxnSpPr/>
      </cdr:nvCxnSpPr>
      <cdr:spPr>
        <a:xfrm xmlns:a="http://schemas.openxmlformats.org/drawingml/2006/main">
          <a:off x="6000655" y="4267105"/>
          <a:ext cx="554440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0.62945</cdr:x>
      <cdr:y>0.62221</cdr:y>
    </cdr:from>
    <cdr:to>
      <cdr:x>0.62945</cdr:x>
      <cdr:y>0.82432</cdr:y>
    </cdr:to>
    <cdr:cxnSp macro="">
      <cdr:nvCxnSpPr>
        <cdr:cNvPr id="630" name="NDMPlot_AnnotationLine37">
          <a:extLst xmlns:a="http://schemas.openxmlformats.org/drawingml/2006/main">
            <a:ext uri="{FF2B5EF4-FFF2-40B4-BE49-F238E27FC236}">
              <a16:creationId xmlns:a16="http://schemas.microsoft.com/office/drawing/2014/main" id="{37809D16-4994-4406-8AC7-20CFF83BF1DC}"/>
            </a:ext>
          </a:extLst>
        </cdr:cNvPr>
        <cdr:cNvCxnSpPr/>
      </cdr:nvCxnSpPr>
      <cdr:spPr>
        <a:xfrm xmlns:a="http://schemas.openxmlformats.org/drawingml/2006/main" flipV="1">
          <a:off x="6555095" y="4267105"/>
          <a:ext cx="0" cy="1386101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0.62646</cdr:x>
      <cdr:y>0.58438</cdr:y>
    </cdr:from>
    <cdr:to>
      <cdr:x>0.64842</cdr:x>
      <cdr:y>0.86215</cdr:y>
    </cdr:to>
    <cdr:sp macro="" textlink="">
      <cdr:nvSpPr>
        <cdr:cNvPr id="631" name="NDMPlot_Text38">
          <a:extLst xmlns:a="http://schemas.openxmlformats.org/drawingml/2006/main">
            <a:ext uri="{FF2B5EF4-FFF2-40B4-BE49-F238E27FC236}">
              <a16:creationId xmlns:a16="http://schemas.microsoft.com/office/drawing/2014/main" id="{1FAF0665-BCCE-4333-B192-D1FAC9CDBC33}"/>
            </a:ext>
          </a:extLst>
        </cdr:cNvPr>
        <cdr:cNvSpPr txBox="1"/>
      </cdr:nvSpPr>
      <cdr:spPr>
        <a:xfrm xmlns:a="http://schemas.openxmlformats.org/drawingml/2006/main" rot="5400000">
          <a:off x="5685761" y="4845802"/>
          <a:ext cx="1905000" cy="228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91" b="1">
              <a:solidFill>
                <a:srgbClr val="141E5A"/>
              </a:solidFill>
            </a:rPr>
            <a:t>H2=250 mm</a:t>
          </a:r>
          <a:endParaRPr lang="ru-RU" sz="1091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0.02222</cdr:y>
    </cdr:from>
    <cdr:to>
      <cdr:x>0.98537</cdr:x>
      <cdr:y>0.06296</cdr:y>
    </cdr:to>
    <cdr:sp macro="" textlink="">
      <cdr:nvSpPr>
        <cdr:cNvPr id="632" name="NDMPlot_Text39">
          <a:extLst xmlns:a="http://schemas.openxmlformats.org/drawingml/2006/main">
            <a:ext uri="{FF2B5EF4-FFF2-40B4-BE49-F238E27FC236}">
              <a16:creationId xmlns:a16="http://schemas.microsoft.com/office/drawing/2014/main" id="{76E39BC5-FD49-41ED-8722-DDEC00655AAD}"/>
            </a:ext>
          </a:extLst>
        </cdr:cNvPr>
        <cdr:cNvSpPr txBox="1"/>
      </cdr:nvSpPr>
      <cdr:spPr>
        <a:xfrm xmlns:a="http://schemas.openxmlformats.org/drawingml/2006/main">
          <a:off x="8585200" y="152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0.07407</cdr:y>
    </cdr:from>
    <cdr:to>
      <cdr:x>0.85366</cdr:x>
      <cdr:y>0.0963</cdr:y>
    </cdr:to>
    <cdr:sp macro="" textlink="">
      <cdr:nvSpPr>
        <cdr:cNvPr id="633" name="NDMPlot_LegendGradient40">
          <a:extLst xmlns:a="http://schemas.openxmlformats.org/drawingml/2006/main">
            <a:ext uri="{FF2B5EF4-FFF2-40B4-BE49-F238E27FC236}">
              <a16:creationId xmlns:a16="http://schemas.microsoft.com/office/drawing/2014/main" id="{55E4ACF5-BEB5-49BC-AC13-83B7D31FC905}"/>
            </a:ext>
          </a:extLst>
        </cdr:cNvPr>
        <cdr:cNvSpPr/>
      </cdr:nvSpPr>
      <cdr:spPr>
        <a:xfrm xmlns:a="http://schemas.openxmlformats.org/drawingml/2006/main">
          <a:off x="8661400" y="5080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0.09444</cdr:y>
    </cdr:from>
    <cdr:to>
      <cdr:x>0.85366</cdr:x>
      <cdr:y>0.11667</cdr:y>
    </cdr:to>
    <cdr:sp macro="" textlink="">
      <cdr:nvSpPr>
        <cdr:cNvPr id="634" name="NDMPlot_LegendGradient41">
          <a:extLst xmlns:a="http://schemas.openxmlformats.org/drawingml/2006/main">
            <a:ext uri="{FF2B5EF4-FFF2-40B4-BE49-F238E27FC236}">
              <a16:creationId xmlns:a16="http://schemas.microsoft.com/office/drawing/2014/main" id="{1409F1E4-2EE0-418F-85EF-DE859650CAAE}"/>
            </a:ext>
          </a:extLst>
        </cdr:cNvPr>
        <cdr:cNvSpPr/>
      </cdr:nvSpPr>
      <cdr:spPr>
        <a:xfrm xmlns:a="http://schemas.openxmlformats.org/drawingml/2006/main">
          <a:off x="8661400" y="6477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0.11481</cdr:y>
    </cdr:from>
    <cdr:to>
      <cdr:x>0.85366</cdr:x>
      <cdr:y>0.13704</cdr:y>
    </cdr:to>
    <cdr:sp macro="" textlink="">
      <cdr:nvSpPr>
        <cdr:cNvPr id="635" name="NDMPlot_LegendGradient42">
          <a:extLst xmlns:a="http://schemas.openxmlformats.org/drawingml/2006/main">
            <a:ext uri="{FF2B5EF4-FFF2-40B4-BE49-F238E27FC236}">
              <a16:creationId xmlns:a16="http://schemas.microsoft.com/office/drawing/2014/main" id="{EC84894E-FAEC-47D7-807E-84D5085F846F}"/>
            </a:ext>
          </a:extLst>
        </cdr:cNvPr>
        <cdr:cNvSpPr/>
      </cdr:nvSpPr>
      <cdr:spPr>
        <a:xfrm xmlns:a="http://schemas.openxmlformats.org/drawingml/2006/main">
          <a:off x="8661400" y="7874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0.13519</cdr:y>
    </cdr:from>
    <cdr:to>
      <cdr:x>0.85366</cdr:x>
      <cdr:y>0.15741</cdr:y>
    </cdr:to>
    <cdr:sp macro="" textlink="">
      <cdr:nvSpPr>
        <cdr:cNvPr id="636" name="NDMPlot_LegendGradient43">
          <a:extLst xmlns:a="http://schemas.openxmlformats.org/drawingml/2006/main">
            <a:ext uri="{FF2B5EF4-FFF2-40B4-BE49-F238E27FC236}">
              <a16:creationId xmlns:a16="http://schemas.microsoft.com/office/drawing/2014/main" id="{4008204D-A760-42F4-9F78-0BE04140438E}"/>
            </a:ext>
          </a:extLst>
        </cdr:cNvPr>
        <cdr:cNvSpPr/>
      </cdr:nvSpPr>
      <cdr:spPr>
        <a:xfrm xmlns:a="http://schemas.openxmlformats.org/drawingml/2006/main">
          <a:off x="8661400" y="9271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0.15556</cdr:y>
    </cdr:from>
    <cdr:to>
      <cdr:x>0.85366</cdr:x>
      <cdr:y>0.17778</cdr:y>
    </cdr:to>
    <cdr:sp macro="" textlink="">
      <cdr:nvSpPr>
        <cdr:cNvPr id="637" name="NDMPlot_LegendGradient44">
          <a:extLst xmlns:a="http://schemas.openxmlformats.org/drawingml/2006/main">
            <a:ext uri="{FF2B5EF4-FFF2-40B4-BE49-F238E27FC236}">
              <a16:creationId xmlns:a16="http://schemas.microsoft.com/office/drawing/2014/main" id="{4FCA1C03-846B-4097-B74B-E845C5CC49EC}"/>
            </a:ext>
          </a:extLst>
        </cdr:cNvPr>
        <cdr:cNvSpPr/>
      </cdr:nvSpPr>
      <cdr:spPr>
        <a:xfrm xmlns:a="http://schemas.openxmlformats.org/drawingml/2006/main">
          <a:off x="8661400" y="10668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0.17593</cdr:y>
    </cdr:from>
    <cdr:to>
      <cdr:x>0.85366</cdr:x>
      <cdr:y>0.19815</cdr:y>
    </cdr:to>
    <cdr:sp macro="" textlink="">
      <cdr:nvSpPr>
        <cdr:cNvPr id="638" name="NDMPlot_LegendGradient45">
          <a:extLst xmlns:a="http://schemas.openxmlformats.org/drawingml/2006/main">
            <a:ext uri="{FF2B5EF4-FFF2-40B4-BE49-F238E27FC236}">
              <a16:creationId xmlns:a16="http://schemas.microsoft.com/office/drawing/2014/main" id="{89EAC2B3-9A0A-4134-87E3-5E4B5D25001E}"/>
            </a:ext>
          </a:extLst>
        </cdr:cNvPr>
        <cdr:cNvSpPr/>
      </cdr:nvSpPr>
      <cdr:spPr>
        <a:xfrm xmlns:a="http://schemas.openxmlformats.org/drawingml/2006/main">
          <a:off x="8661400" y="12065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0.1963</cdr:y>
    </cdr:from>
    <cdr:to>
      <cdr:x>0.85366</cdr:x>
      <cdr:y>0.21852</cdr:y>
    </cdr:to>
    <cdr:sp macro="" textlink="">
      <cdr:nvSpPr>
        <cdr:cNvPr id="639" name="NDMPlot_LegendGradient46">
          <a:extLst xmlns:a="http://schemas.openxmlformats.org/drawingml/2006/main">
            <a:ext uri="{FF2B5EF4-FFF2-40B4-BE49-F238E27FC236}">
              <a16:creationId xmlns:a16="http://schemas.microsoft.com/office/drawing/2014/main" id="{73762541-83E5-458F-BE8B-642788C78195}"/>
            </a:ext>
          </a:extLst>
        </cdr:cNvPr>
        <cdr:cNvSpPr/>
      </cdr:nvSpPr>
      <cdr:spPr>
        <a:xfrm xmlns:a="http://schemas.openxmlformats.org/drawingml/2006/main">
          <a:off x="8661400" y="13462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0.21667</cdr:y>
    </cdr:from>
    <cdr:to>
      <cdr:x>0.85366</cdr:x>
      <cdr:y>0.23889</cdr:y>
    </cdr:to>
    <cdr:sp macro="" textlink="">
      <cdr:nvSpPr>
        <cdr:cNvPr id="640" name="NDMPlot_LegendGradient47">
          <a:extLst xmlns:a="http://schemas.openxmlformats.org/drawingml/2006/main">
            <a:ext uri="{FF2B5EF4-FFF2-40B4-BE49-F238E27FC236}">
              <a16:creationId xmlns:a16="http://schemas.microsoft.com/office/drawing/2014/main" id="{6BC57BF9-A368-4ED2-84AF-F9C585B96DB2}"/>
            </a:ext>
          </a:extLst>
        </cdr:cNvPr>
        <cdr:cNvSpPr/>
      </cdr:nvSpPr>
      <cdr:spPr>
        <a:xfrm xmlns:a="http://schemas.openxmlformats.org/drawingml/2006/main">
          <a:off x="8661400" y="14859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0.23704</cdr:y>
    </cdr:from>
    <cdr:to>
      <cdr:x>0.85366</cdr:x>
      <cdr:y>0.25926</cdr:y>
    </cdr:to>
    <cdr:sp macro="" textlink="">
      <cdr:nvSpPr>
        <cdr:cNvPr id="641" name="NDMPlot_LegendGradient48">
          <a:extLst xmlns:a="http://schemas.openxmlformats.org/drawingml/2006/main">
            <a:ext uri="{FF2B5EF4-FFF2-40B4-BE49-F238E27FC236}">
              <a16:creationId xmlns:a16="http://schemas.microsoft.com/office/drawing/2014/main" id="{90826D1C-3E4E-45BD-8D5C-A78F9C73916C}"/>
            </a:ext>
          </a:extLst>
        </cdr:cNvPr>
        <cdr:cNvSpPr/>
      </cdr:nvSpPr>
      <cdr:spPr>
        <a:xfrm xmlns:a="http://schemas.openxmlformats.org/drawingml/2006/main">
          <a:off x="8661400" y="16256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0.25741</cdr:y>
    </cdr:from>
    <cdr:to>
      <cdr:x>0.85366</cdr:x>
      <cdr:y>0.27963</cdr:y>
    </cdr:to>
    <cdr:sp macro="" textlink="">
      <cdr:nvSpPr>
        <cdr:cNvPr id="642" name="NDMPlot_LegendGradient49">
          <a:extLst xmlns:a="http://schemas.openxmlformats.org/drawingml/2006/main">
            <a:ext uri="{FF2B5EF4-FFF2-40B4-BE49-F238E27FC236}">
              <a16:creationId xmlns:a16="http://schemas.microsoft.com/office/drawing/2014/main" id="{6F75E967-D8B6-472B-B19A-C0727987D6E6}"/>
            </a:ext>
          </a:extLst>
        </cdr:cNvPr>
        <cdr:cNvSpPr/>
      </cdr:nvSpPr>
      <cdr:spPr>
        <a:xfrm xmlns:a="http://schemas.openxmlformats.org/drawingml/2006/main">
          <a:off x="8661400" y="17653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0.27778</cdr:y>
    </cdr:from>
    <cdr:to>
      <cdr:x>0.85366</cdr:x>
      <cdr:y>0.3</cdr:y>
    </cdr:to>
    <cdr:sp macro="" textlink="">
      <cdr:nvSpPr>
        <cdr:cNvPr id="643" name="NDMPlot_LegendGradient50">
          <a:extLst xmlns:a="http://schemas.openxmlformats.org/drawingml/2006/main">
            <a:ext uri="{FF2B5EF4-FFF2-40B4-BE49-F238E27FC236}">
              <a16:creationId xmlns:a16="http://schemas.microsoft.com/office/drawing/2014/main" id="{EFEF2A97-F872-4444-8AEE-0549BB65F376}"/>
            </a:ext>
          </a:extLst>
        </cdr:cNvPr>
        <cdr:cNvSpPr/>
      </cdr:nvSpPr>
      <cdr:spPr>
        <a:xfrm xmlns:a="http://schemas.openxmlformats.org/drawingml/2006/main">
          <a:off x="8661400" y="19050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0.29815</cdr:y>
    </cdr:from>
    <cdr:to>
      <cdr:x>0.85366</cdr:x>
      <cdr:y>0.32037</cdr:y>
    </cdr:to>
    <cdr:sp macro="" textlink="">
      <cdr:nvSpPr>
        <cdr:cNvPr id="644" name="NDMPlot_LegendGradient51">
          <a:extLst xmlns:a="http://schemas.openxmlformats.org/drawingml/2006/main">
            <a:ext uri="{FF2B5EF4-FFF2-40B4-BE49-F238E27FC236}">
              <a16:creationId xmlns:a16="http://schemas.microsoft.com/office/drawing/2014/main" id="{D7B89E36-FA5B-448D-B41D-750A2CD6BABA}"/>
            </a:ext>
          </a:extLst>
        </cdr:cNvPr>
        <cdr:cNvSpPr/>
      </cdr:nvSpPr>
      <cdr:spPr>
        <a:xfrm xmlns:a="http://schemas.openxmlformats.org/drawingml/2006/main">
          <a:off x="8661400" y="20447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0.05185</cdr:y>
    </cdr:from>
    <cdr:to>
      <cdr:x>0.96829</cdr:x>
      <cdr:y>0.07778</cdr:y>
    </cdr:to>
    <cdr:sp macro="" textlink="">
      <cdr:nvSpPr>
        <cdr:cNvPr id="645" name="NDMPlot_Text52">
          <a:extLst xmlns:a="http://schemas.openxmlformats.org/drawingml/2006/main">
            <a:ext uri="{FF2B5EF4-FFF2-40B4-BE49-F238E27FC236}">
              <a16:creationId xmlns:a16="http://schemas.microsoft.com/office/drawing/2014/main" id="{87802012-13E7-4C5F-9D76-EFEDC328A18E}"/>
            </a:ext>
          </a:extLst>
        </cdr:cNvPr>
        <cdr:cNvSpPr txBox="1"/>
      </cdr:nvSpPr>
      <cdr:spPr>
        <a:xfrm xmlns:a="http://schemas.openxmlformats.org/drawingml/2006/main">
          <a:off x="8966200" y="355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0.08148</cdr:y>
    </cdr:from>
    <cdr:to>
      <cdr:x>0.96341</cdr:x>
      <cdr:y>0.11111</cdr:y>
    </cdr:to>
    <cdr:sp macro="" textlink="">
      <cdr:nvSpPr>
        <cdr:cNvPr id="646" name="NDMPlot_Text53">
          <a:extLst xmlns:a="http://schemas.openxmlformats.org/drawingml/2006/main">
            <a:ext uri="{FF2B5EF4-FFF2-40B4-BE49-F238E27FC236}">
              <a16:creationId xmlns:a16="http://schemas.microsoft.com/office/drawing/2014/main" id="{58E3B7D0-22B5-48B6-A4E2-52CD8C7008F0}"/>
            </a:ext>
          </a:extLst>
        </cdr:cNvPr>
        <cdr:cNvSpPr txBox="1"/>
      </cdr:nvSpPr>
      <cdr:spPr>
        <a:xfrm xmlns:a="http://schemas.openxmlformats.org/drawingml/2006/main">
          <a:off x="8966200" y="558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-72.0</a:t>
          </a:r>
        </a:p>
      </cdr:txBody>
    </cdr:sp>
  </cdr:relSizeAnchor>
  <cdr:relSizeAnchor xmlns:cdr="http://schemas.openxmlformats.org/drawingml/2006/chartDrawing">
    <cdr:from>
      <cdr:x>0.86098</cdr:x>
      <cdr:y>0.18148</cdr:y>
    </cdr:from>
    <cdr:to>
      <cdr:x>0.96341</cdr:x>
      <cdr:y>0.21111</cdr:y>
    </cdr:to>
    <cdr:sp macro="" textlink="">
      <cdr:nvSpPr>
        <cdr:cNvPr id="647" name="NDMPlot_Text54">
          <a:extLst xmlns:a="http://schemas.openxmlformats.org/drawingml/2006/main">
            <a:ext uri="{FF2B5EF4-FFF2-40B4-BE49-F238E27FC236}">
              <a16:creationId xmlns:a16="http://schemas.microsoft.com/office/drawing/2014/main" id="{592996A7-083E-45C0-9B33-546304C16008}"/>
            </a:ext>
          </a:extLst>
        </cdr:cNvPr>
        <cdr:cNvSpPr txBox="1"/>
      </cdr:nvSpPr>
      <cdr:spPr>
        <a:xfrm xmlns:a="http://schemas.openxmlformats.org/drawingml/2006/main">
          <a:off x="8966200" y="1244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</cdr:y>
    </cdr:from>
    <cdr:to>
      <cdr:x>0.96341</cdr:x>
      <cdr:y>0.32963</cdr:y>
    </cdr:to>
    <cdr:sp macro="" textlink="">
      <cdr:nvSpPr>
        <cdr:cNvPr id="648" name="NDMPlot_Text55">
          <a:extLst xmlns:a="http://schemas.openxmlformats.org/drawingml/2006/main">
            <a:ext uri="{FF2B5EF4-FFF2-40B4-BE49-F238E27FC236}">
              <a16:creationId xmlns:a16="http://schemas.microsoft.com/office/drawing/2014/main" id="{77B67D55-39AC-4082-B553-577E266B934F}"/>
            </a:ext>
          </a:extLst>
        </cdr:cNvPr>
        <cdr:cNvSpPr txBox="1"/>
      </cdr:nvSpPr>
      <cdr:spPr>
        <a:xfrm xmlns:a="http://schemas.openxmlformats.org/drawingml/2006/main">
          <a:off x="8966200" y="2057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26.2</a:t>
          </a:r>
        </a:p>
      </cdr:txBody>
    </cdr:sp>
  </cdr:relSizeAnchor>
  <cdr:relSizeAnchor xmlns:cdr="http://schemas.openxmlformats.org/drawingml/2006/chartDrawing">
    <cdr:from>
      <cdr:x>0.86098</cdr:x>
      <cdr:y>0.32593</cdr:y>
    </cdr:from>
    <cdr:to>
      <cdr:x>0.96829</cdr:x>
      <cdr:y>0.35185</cdr:y>
    </cdr:to>
    <cdr:sp macro="" textlink="">
      <cdr:nvSpPr>
        <cdr:cNvPr id="649" name="NDMPlot_Text56">
          <a:extLst xmlns:a="http://schemas.openxmlformats.org/drawingml/2006/main">
            <a:ext uri="{FF2B5EF4-FFF2-40B4-BE49-F238E27FC236}">
              <a16:creationId xmlns:a16="http://schemas.microsoft.com/office/drawing/2014/main" id="{E6C609EF-2141-4F5F-818F-3A97CD6395B9}"/>
            </a:ext>
          </a:extLst>
        </cdr:cNvPr>
        <cdr:cNvSpPr txBox="1"/>
      </cdr:nvSpPr>
      <cdr:spPr>
        <a:xfrm xmlns:a="http://schemas.openxmlformats.org/drawingml/2006/main">
          <a:off x="8966200" y="22352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0.3963</cdr:y>
    </cdr:from>
    <cdr:to>
      <cdr:x>0.98537</cdr:x>
      <cdr:y>0.43704</cdr:y>
    </cdr:to>
    <cdr:sp macro="" textlink="">
      <cdr:nvSpPr>
        <cdr:cNvPr id="650" name="NDMPlot_Text57">
          <a:extLst xmlns:a="http://schemas.openxmlformats.org/drawingml/2006/main">
            <a:ext uri="{FF2B5EF4-FFF2-40B4-BE49-F238E27FC236}">
              <a16:creationId xmlns:a16="http://schemas.microsoft.com/office/drawing/2014/main" id="{1D134F32-2110-4CC3-9EFA-4C9DFB490F7E}"/>
            </a:ext>
          </a:extLst>
        </cdr:cNvPr>
        <cdr:cNvSpPr txBox="1"/>
      </cdr:nvSpPr>
      <cdr:spPr>
        <a:xfrm xmlns:a="http://schemas.openxmlformats.org/drawingml/2006/main">
          <a:off x="8585200" y="2717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0.44815</cdr:y>
    </cdr:from>
    <cdr:to>
      <cdr:x>0.85366</cdr:x>
      <cdr:y>0.47037</cdr:y>
    </cdr:to>
    <cdr:sp macro="" textlink="">
      <cdr:nvSpPr>
        <cdr:cNvPr id="651" name="NDMPlot_LegendGradient58">
          <a:extLst xmlns:a="http://schemas.openxmlformats.org/drawingml/2006/main">
            <a:ext uri="{FF2B5EF4-FFF2-40B4-BE49-F238E27FC236}">
              <a16:creationId xmlns:a16="http://schemas.microsoft.com/office/drawing/2014/main" id="{8AF958E0-0174-440D-ADD3-C20F9864CAC2}"/>
            </a:ext>
          </a:extLst>
        </cdr:cNvPr>
        <cdr:cNvSpPr/>
      </cdr:nvSpPr>
      <cdr:spPr>
        <a:xfrm xmlns:a="http://schemas.openxmlformats.org/drawingml/2006/main">
          <a:off x="8661400" y="30734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0.46852</cdr:y>
    </cdr:from>
    <cdr:to>
      <cdr:x>0.85366</cdr:x>
      <cdr:y>0.49074</cdr:y>
    </cdr:to>
    <cdr:sp macro="" textlink="">
      <cdr:nvSpPr>
        <cdr:cNvPr id="652" name="NDMPlot_LegendGradient59">
          <a:extLst xmlns:a="http://schemas.openxmlformats.org/drawingml/2006/main">
            <a:ext uri="{FF2B5EF4-FFF2-40B4-BE49-F238E27FC236}">
              <a16:creationId xmlns:a16="http://schemas.microsoft.com/office/drawing/2014/main" id="{6E691D05-8C06-456F-898F-F0D28BE7B961}"/>
            </a:ext>
          </a:extLst>
        </cdr:cNvPr>
        <cdr:cNvSpPr/>
      </cdr:nvSpPr>
      <cdr:spPr>
        <a:xfrm xmlns:a="http://schemas.openxmlformats.org/drawingml/2006/main">
          <a:off x="8661400" y="32131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0.48889</cdr:y>
    </cdr:from>
    <cdr:to>
      <cdr:x>0.85366</cdr:x>
      <cdr:y>0.51111</cdr:y>
    </cdr:to>
    <cdr:sp macro="" textlink="">
      <cdr:nvSpPr>
        <cdr:cNvPr id="653" name="NDMPlot_LegendGradient60">
          <a:extLst xmlns:a="http://schemas.openxmlformats.org/drawingml/2006/main">
            <a:ext uri="{FF2B5EF4-FFF2-40B4-BE49-F238E27FC236}">
              <a16:creationId xmlns:a16="http://schemas.microsoft.com/office/drawing/2014/main" id="{8E1D8A77-D944-4949-8D40-3476627D1B12}"/>
            </a:ext>
          </a:extLst>
        </cdr:cNvPr>
        <cdr:cNvSpPr/>
      </cdr:nvSpPr>
      <cdr:spPr>
        <a:xfrm xmlns:a="http://schemas.openxmlformats.org/drawingml/2006/main">
          <a:off x="8661400" y="33528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0.50926</cdr:y>
    </cdr:from>
    <cdr:to>
      <cdr:x>0.85366</cdr:x>
      <cdr:y>0.53148</cdr:y>
    </cdr:to>
    <cdr:sp macro="" textlink="">
      <cdr:nvSpPr>
        <cdr:cNvPr id="654" name="NDMPlot_LegendGradient61">
          <a:extLst xmlns:a="http://schemas.openxmlformats.org/drawingml/2006/main">
            <a:ext uri="{FF2B5EF4-FFF2-40B4-BE49-F238E27FC236}">
              <a16:creationId xmlns:a16="http://schemas.microsoft.com/office/drawing/2014/main" id="{9D1A307B-34B1-4139-A80A-C40E5467F1DD}"/>
            </a:ext>
          </a:extLst>
        </cdr:cNvPr>
        <cdr:cNvSpPr/>
      </cdr:nvSpPr>
      <cdr:spPr>
        <a:xfrm xmlns:a="http://schemas.openxmlformats.org/drawingml/2006/main">
          <a:off x="8661400" y="34925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0.52963</cdr:y>
    </cdr:from>
    <cdr:to>
      <cdr:x>0.85366</cdr:x>
      <cdr:y>0.55185</cdr:y>
    </cdr:to>
    <cdr:sp macro="" textlink="">
      <cdr:nvSpPr>
        <cdr:cNvPr id="655" name="NDMPlot_LegendGradient62">
          <a:extLst xmlns:a="http://schemas.openxmlformats.org/drawingml/2006/main">
            <a:ext uri="{FF2B5EF4-FFF2-40B4-BE49-F238E27FC236}">
              <a16:creationId xmlns:a16="http://schemas.microsoft.com/office/drawing/2014/main" id="{5C587468-442D-4F7C-99F6-6632F92F0C24}"/>
            </a:ext>
          </a:extLst>
        </cdr:cNvPr>
        <cdr:cNvSpPr/>
      </cdr:nvSpPr>
      <cdr:spPr>
        <a:xfrm xmlns:a="http://schemas.openxmlformats.org/drawingml/2006/main">
          <a:off x="8661400" y="36322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</cdr:y>
    </cdr:from>
    <cdr:to>
      <cdr:x>0.85366</cdr:x>
      <cdr:y>0.57222</cdr:y>
    </cdr:to>
    <cdr:sp macro="" textlink="">
      <cdr:nvSpPr>
        <cdr:cNvPr id="656" name="NDMPlot_LegendGradient63">
          <a:extLst xmlns:a="http://schemas.openxmlformats.org/drawingml/2006/main">
            <a:ext uri="{FF2B5EF4-FFF2-40B4-BE49-F238E27FC236}">
              <a16:creationId xmlns:a16="http://schemas.microsoft.com/office/drawing/2014/main" id="{23C7352D-366E-41A3-A9C0-0EAFC3A3F261}"/>
            </a:ext>
          </a:extLst>
        </cdr:cNvPr>
        <cdr:cNvSpPr/>
      </cdr:nvSpPr>
      <cdr:spPr>
        <a:xfrm xmlns:a="http://schemas.openxmlformats.org/drawingml/2006/main">
          <a:off x="8661400" y="37719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0.57037</cdr:y>
    </cdr:from>
    <cdr:to>
      <cdr:x>0.85366</cdr:x>
      <cdr:y>0.59259</cdr:y>
    </cdr:to>
    <cdr:sp macro="" textlink="">
      <cdr:nvSpPr>
        <cdr:cNvPr id="657" name="NDMPlot_LegendGradient64">
          <a:extLst xmlns:a="http://schemas.openxmlformats.org/drawingml/2006/main">
            <a:ext uri="{FF2B5EF4-FFF2-40B4-BE49-F238E27FC236}">
              <a16:creationId xmlns:a16="http://schemas.microsoft.com/office/drawing/2014/main" id="{5C536417-68BF-452F-9898-558C92D3462B}"/>
            </a:ext>
          </a:extLst>
        </cdr:cNvPr>
        <cdr:cNvSpPr/>
      </cdr:nvSpPr>
      <cdr:spPr>
        <a:xfrm xmlns:a="http://schemas.openxmlformats.org/drawingml/2006/main">
          <a:off x="8661400" y="39116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0.59074</cdr:y>
    </cdr:from>
    <cdr:to>
      <cdr:x>0.85366</cdr:x>
      <cdr:y>0.61296</cdr:y>
    </cdr:to>
    <cdr:sp macro="" textlink="">
      <cdr:nvSpPr>
        <cdr:cNvPr id="658" name="NDMPlot_LegendGradient65">
          <a:extLst xmlns:a="http://schemas.openxmlformats.org/drawingml/2006/main">
            <a:ext uri="{FF2B5EF4-FFF2-40B4-BE49-F238E27FC236}">
              <a16:creationId xmlns:a16="http://schemas.microsoft.com/office/drawing/2014/main" id="{B41EAF05-4B59-41E4-AD55-9B2B2D6A1525}"/>
            </a:ext>
          </a:extLst>
        </cdr:cNvPr>
        <cdr:cNvSpPr/>
      </cdr:nvSpPr>
      <cdr:spPr>
        <a:xfrm xmlns:a="http://schemas.openxmlformats.org/drawingml/2006/main">
          <a:off x="8661400" y="40513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0.63333</cdr:y>
    </cdr:to>
    <cdr:sp macro="" textlink="">
      <cdr:nvSpPr>
        <cdr:cNvPr id="659" name="NDMPlot_LegendGradient66">
          <a:extLst xmlns:a="http://schemas.openxmlformats.org/drawingml/2006/main">
            <a:ext uri="{FF2B5EF4-FFF2-40B4-BE49-F238E27FC236}">
              <a16:creationId xmlns:a16="http://schemas.microsoft.com/office/drawing/2014/main" id="{FF164153-53F6-459C-A78A-ACFC70D4EA4C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0.63148</cdr:y>
    </cdr:from>
    <cdr:to>
      <cdr:x>0.85366</cdr:x>
      <cdr:y>0.6537</cdr:y>
    </cdr:to>
    <cdr:sp macro="" textlink="">
      <cdr:nvSpPr>
        <cdr:cNvPr id="660" name="NDMPlot_LegendGradient67">
          <a:extLst xmlns:a="http://schemas.openxmlformats.org/drawingml/2006/main">
            <a:ext uri="{FF2B5EF4-FFF2-40B4-BE49-F238E27FC236}">
              <a16:creationId xmlns:a16="http://schemas.microsoft.com/office/drawing/2014/main" id="{77D94BB0-3B28-4595-BF32-21561A09DC86}"/>
            </a:ext>
          </a:extLst>
        </cdr:cNvPr>
        <cdr:cNvSpPr/>
      </cdr:nvSpPr>
      <cdr:spPr>
        <a:xfrm xmlns:a="http://schemas.openxmlformats.org/drawingml/2006/main">
          <a:off x="8661400" y="43307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0.65185</cdr:y>
    </cdr:from>
    <cdr:to>
      <cdr:x>0.85366</cdr:x>
      <cdr:y>0.67407</cdr:y>
    </cdr:to>
    <cdr:sp macro="" textlink="">
      <cdr:nvSpPr>
        <cdr:cNvPr id="661" name="NDMPlot_LegendGradient68">
          <a:extLst xmlns:a="http://schemas.openxmlformats.org/drawingml/2006/main">
            <a:ext uri="{FF2B5EF4-FFF2-40B4-BE49-F238E27FC236}">
              <a16:creationId xmlns:a16="http://schemas.microsoft.com/office/drawing/2014/main" id="{E7016A11-B3AB-416D-B868-85A0E4EC2EEC}"/>
            </a:ext>
          </a:extLst>
        </cdr:cNvPr>
        <cdr:cNvSpPr/>
      </cdr:nvSpPr>
      <cdr:spPr>
        <a:xfrm xmlns:a="http://schemas.openxmlformats.org/drawingml/2006/main">
          <a:off x="8661400" y="44704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0.67222</cdr:y>
    </cdr:from>
    <cdr:to>
      <cdr:x>0.85366</cdr:x>
      <cdr:y>0.69444</cdr:y>
    </cdr:to>
    <cdr:sp macro="" textlink="">
      <cdr:nvSpPr>
        <cdr:cNvPr id="662" name="NDMPlot_LegendGradient69">
          <a:extLst xmlns:a="http://schemas.openxmlformats.org/drawingml/2006/main">
            <a:ext uri="{FF2B5EF4-FFF2-40B4-BE49-F238E27FC236}">
              <a16:creationId xmlns:a16="http://schemas.microsoft.com/office/drawing/2014/main" id="{B439B674-BD5C-4699-B0FF-87A7BCCA5215}"/>
            </a:ext>
          </a:extLst>
        </cdr:cNvPr>
        <cdr:cNvSpPr/>
      </cdr:nvSpPr>
      <cdr:spPr>
        <a:xfrm xmlns:a="http://schemas.openxmlformats.org/drawingml/2006/main">
          <a:off x="8661400" y="4610100"/>
          <a:ext cx="228600" cy="1524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0.42593</cdr:y>
    </cdr:from>
    <cdr:to>
      <cdr:x>0.96829</cdr:x>
      <cdr:y>0.45185</cdr:y>
    </cdr:to>
    <cdr:sp macro="" textlink="">
      <cdr:nvSpPr>
        <cdr:cNvPr id="663" name="NDMPlot_Text70">
          <a:extLst xmlns:a="http://schemas.openxmlformats.org/drawingml/2006/main">
            <a:ext uri="{FF2B5EF4-FFF2-40B4-BE49-F238E27FC236}">
              <a16:creationId xmlns:a16="http://schemas.microsoft.com/office/drawing/2014/main" id="{119F2191-2D7C-4452-9784-E2E72979CFF7}"/>
            </a:ext>
          </a:extLst>
        </cdr:cNvPr>
        <cdr:cNvSpPr txBox="1"/>
      </cdr:nvSpPr>
      <cdr:spPr>
        <a:xfrm xmlns:a="http://schemas.openxmlformats.org/drawingml/2006/main">
          <a:off x="8966200" y="2921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0.45556</cdr:y>
    </cdr:from>
    <cdr:to>
      <cdr:x>0.96341</cdr:x>
      <cdr:y>0.48519</cdr:y>
    </cdr:to>
    <cdr:sp macro="" textlink="">
      <cdr:nvSpPr>
        <cdr:cNvPr id="664" name="NDMPlot_Text71">
          <a:extLst xmlns:a="http://schemas.openxmlformats.org/drawingml/2006/main">
            <a:ext uri="{FF2B5EF4-FFF2-40B4-BE49-F238E27FC236}">
              <a16:creationId xmlns:a16="http://schemas.microsoft.com/office/drawing/2014/main" id="{A0157D76-C29D-4E26-8593-327CA2803BCE}"/>
            </a:ext>
          </a:extLst>
        </cdr:cNvPr>
        <cdr:cNvSpPr txBox="1"/>
      </cdr:nvSpPr>
      <cdr:spPr>
        <a:xfrm xmlns:a="http://schemas.openxmlformats.org/drawingml/2006/main">
          <a:off x="8966200" y="3124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-4.0</a:t>
          </a:r>
        </a:p>
      </cdr:txBody>
    </cdr:sp>
  </cdr:relSizeAnchor>
  <cdr:relSizeAnchor xmlns:cdr="http://schemas.openxmlformats.org/drawingml/2006/chartDrawing">
    <cdr:from>
      <cdr:x>0.86098</cdr:x>
      <cdr:y>0.55556</cdr:y>
    </cdr:from>
    <cdr:to>
      <cdr:x>0.96341</cdr:x>
      <cdr:y>0.58519</cdr:y>
    </cdr:to>
    <cdr:sp macro="" textlink="">
      <cdr:nvSpPr>
        <cdr:cNvPr id="665" name="NDMPlot_Text72">
          <a:extLst xmlns:a="http://schemas.openxmlformats.org/drawingml/2006/main">
            <a:ext uri="{FF2B5EF4-FFF2-40B4-BE49-F238E27FC236}">
              <a16:creationId xmlns:a16="http://schemas.microsoft.com/office/drawing/2014/main" id="{B2513054-C8E7-4F24-B031-6E48F20DF74A}"/>
            </a:ext>
          </a:extLst>
        </cdr:cNvPr>
        <cdr:cNvSpPr txBox="1"/>
      </cdr:nvSpPr>
      <cdr:spPr>
        <a:xfrm xmlns:a="http://schemas.openxmlformats.org/drawingml/2006/main">
          <a:off x="8966200" y="3810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0.67407</cdr:y>
    </cdr:from>
    <cdr:to>
      <cdr:x>0.96341</cdr:x>
      <cdr:y>0.7037</cdr:y>
    </cdr:to>
    <cdr:sp macro="" textlink="">
      <cdr:nvSpPr>
        <cdr:cNvPr id="666" name="NDMPlot_Text73">
          <a:extLst xmlns:a="http://schemas.openxmlformats.org/drawingml/2006/main">
            <a:ext uri="{FF2B5EF4-FFF2-40B4-BE49-F238E27FC236}">
              <a16:creationId xmlns:a16="http://schemas.microsoft.com/office/drawing/2014/main" id="{C18620B0-17F3-4FB3-80A1-D7196F5F6482}"/>
            </a:ext>
          </a:extLst>
        </cdr:cNvPr>
        <cdr:cNvSpPr txBox="1"/>
      </cdr:nvSpPr>
      <cdr:spPr>
        <a:xfrm xmlns:a="http://schemas.openxmlformats.org/drawingml/2006/main">
          <a:off x="8966200" y="4622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0.7</cdr:y>
    </cdr:from>
    <cdr:to>
      <cdr:x>0.96829</cdr:x>
      <cdr:y>0.72593</cdr:y>
    </cdr:to>
    <cdr:sp macro="" textlink="">
      <cdr:nvSpPr>
        <cdr:cNvPr id="667" name="NDMPlot_Text74">
          <a:extLst xmlns:a="http://schemas.openxmlformats.org/drawingml/2006/main">
            <a:ext uri="{FF2B5EF4-FFF2-40B4-BE49-F238E27FC236}">
              <a16:creationId xmlns:a16="http://schemas.microsoft.com/office/drawing/2014/main" id="{A772BC46-B2C4-426B-9FB7-45096EBD7055}"/>
            </a:ext>
          </a:extLst>
        </cdr:cNvPr>
        <cdr:cNvSpPr txBox="1"/>
      </cdr:nvSpPr>
      <cdr:spPr>
        <a:xfrm xmlns:a="http://schemas.openxmlformats.org/drawingml/2006/main">
          <a:off x="8966200" y="4800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CE1B-396E-4543-BE78-1423E19B9F36}">
  <sheetPr codeName="Лист1"/>
  <dimension ref="A1:AJ60"/>
  <sheetViews>
    <sheetView tabSelected="1" workbookViewId="0">
      <selection activeCell="C41" sqref="C41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 t="s">
        <v>8</v>
      </c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</row>
    <row r="2" spans="1:36" ht="24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4.1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</row>
    <row r="4" spans="1:36" ht="14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13" t="s">
        <v>9</v>
      </c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36" ht="14.1" customHeight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14.1" customHeigh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 ht="14.1" customHeight="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4" t="s">
        <v>10</v>
      </c>
      <c r="T7" s="4"/>
      <c r="U7" s="4"/>
      <c r="V7" s="4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3"/>
    </row>
    <row r="8" spans="1:36" ht="14.1" customHeigh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4" t="s">
        <v>2</v>
      </c>
      <c r="T8" s="4"/>
      <c r="U8" s="4"/>
      <c r="V8" s="4"/>
      <c r="W8" s="5"/>
      <c r="X8" s="5"/>
      <c r="Y8" s="5"/>
      <c r="Z8" s="5"/>
      <c r="AA8" s="5" t="s">
        <v>11</v>
      </c>
      <c r="AB8" s="5"/>
      <c r="AC8" s="5"/>
      <c r="AD8" s="5"/>
      <c r="AE8" s="5"/>
      <c r="AF8" s="5"/>
      <c r="AG8" s="5"/>
      <c r="AH8" s="5"/>
      <c r="AI8" s="5"/>
      <c r="AJ8" s="3"/>
    </row>
    <row r="9" spans="1:36" ht="14.1" customHeight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4" t="s">
        <v>3</v>
      </c>
      <c r="T9" s="4"/>
      <c r="U9" s="4"/>
      <c r="V9" s="4"/>
      <c r="W9" s="5"/>
      <c r="X9" s="5"/>
      <c r="Y9" s="5"/>
      <c r="Z9" s="5"/>
      <c r="AA9" s="5" t="s">
        <v>12</v>
      </c>
      <c r="AB9" s="5"/>
      <c r="AC9" s="5"/>
      <c r="AD9" s="5"/>
      <c r="AE9" s="5"/>
      <c r="AF9" s="5"/>
      <c r="AG9" s="5"/>
      <c r="AH9" s="5"/>
      <c r="AI9" s="5"/>
      <c r="AJ9" s="3"/>
    </row>
    <row r="10" spans="1:36" ht="14.1" customHeigh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4" t="s">
        <v>4</v>
      </c>
      <c r="T10" s="4"/>
      <c r="U10" s="4"/>
      <c r="V10" s="4"/>
      <c r="W10" s="5"/>
      <c r="X10" s="5"/>
      <c r="Y10" s="5"/>
      <c r="Z10" s="5"/>
      <c r="AA10" s="5" t="s">
        <v>12</v>
      </c>
      <c r="AB10" s="5"/>
      <c r="AC10" s="5"/>
      <c r="AD10" s="5"/>
      <c r="AE10" s="5"/>
      <c r="AF10" s="5"/>
      <c r="AG10" s="5"/>
      <c r="AH10" s="5"/>
      <c r="AI10" s="5"/>
      <c r="AJ10" s="3"/>
    </row>
    <row r="11" spans="1:36" ht="14.1" customHeight="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4" t="s">
        <v>13</v>
      </c>
      <c r="T11" s="4"/>
      <c r="U11" s="4"/>
      <c r="V11" s="4"/>
      <c r="W11" s="5" t="s">
        <v>14</v>
      </c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3"/>
    </row>
    <row r="12" spans="1:36" ht="14.1" customHeight="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4" t="s">
        <v>15</v>
      </c>
      <c r="T12" s="4"/>
      <c r="U12" s="4"/>
      <c r="V12" s="4"/>
      <c r="W12" s="5" t="s">
        <v>16</v>
      </c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3"/>
    </row>
    <row r="13" spans="1:36" ht="14.1" customHeight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</row>
    <row r="14" spans="1:36" ht="14.1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 ht="14.1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</row>
    <row r="16" spans="1:36" ht="14.1" customHeigh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13" t="s">
        <v>17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</row>
    <row r="17" spans="1:36" ht="14.1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 t="s">
        <v>709</v>
      </c>
      <c r="T17" s="3"/>
      <c r="U17" s="3"/>
      <c r="V17" s="3"/>
      <c r="W17" s="3" t="s">
        <v>601</v>
      </c>
      <c r="X17" s="3"/>
      <c r="Y17" s="3"/>
      <c r="Z17" s="3"/>
      <c r="AA17" s="3" t="s">
        <v>602</v>
      </c>
      <c r="AB17" s="3"/>
      <c r="AC17" s="3"/>
      <c r="AD17" s="3"/>
      <c r="AE17" s="3" t="s">
        <v>7</v>
      </c>
      <c r="AF17" s="3"/>
      <c r="AG17" s="3"/>
      <c r="AH17" s="3"/>
      <c r="AI17" s="3"/>
      <c r="AJ17" s="3"/>
    </row>
    <row r="18" spans="1:36" ht="14.1" customHeight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6" t="s">
        <v>710</v>
      </c>
      <c r="T18" s="5"/>
      <c r="U18" s="5"/>
      <c r="V18" s="5"/>
      <c r="W18" s="6" t="s">
        <v>720</v>
      </c>
      <c r="X18" s="5"/>
      <c r="Y18" s="5"/>
      <c r="Z18" s="5"/>
      <c r="AA18" s="6"/>
      <c r="AB18" s="5"/>
      <c r="AC18" s="5"/>
      <c r="AD18" s="5"/>
      <c r="AE18" s="6" t="s">
        <v>721</v>
      </c>
      <c r="AF18" s="5"/>
      <c r="AG18" s="5"/>
      <c r="AH18" s="5"/>
      <c r="AI18" s="3"/>
      <c r="AJ18" s="3"/>
    </row>
    <row r="19" spans="1:36" ht="14.1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5" t="s">
        <v>711</v>
      </c>
      <c r="T19" s="5"/>
      <c r="U19" s="5"/>
      <c r="V19" s="5"/>
      <c r="W19" s="5" t="s">
        <v>92</v>
      </c>
      <c r="X19" s="5"/>
      <c r="Y19" s="5"/>
      <c r="Z19" s="5"/>
      <c r="AA19" s="5"/>
      <c r="AB19" s="5"/>
      <c r="AC19" s="5"/>
      <c r="AD19" s="5"/>
      <c r="AE19" s="5" t="s">
        <v>722</v>
      </c>
      <c r="AF19" s="5"/>
      <c r="AG19" s="5"/>
      <c r="AH19" s="5"/>
      <c r="AI19" s="3"/>
      <c r="AJ19" s="3"/>
    </row>
    <row r="20" spans="1:36" ht="14.1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5" t="s">
        <v>712</v>
      </c>
      <c r="T20" s="5"/>
      <c r="U20" s="5"/>
      <c r="V20" s="5"/>
      <c r="W20" s="5" t="s">
        <v>424</v>
      </c>
      <c r="X20" s="5"/>
      <c r="Y20" s="5"/>
      <c r="Z20" s="5"/>
      <c r="AA20" s="5"/>
      <c r="AB20" s="5"/>
      <c r="AC20" s="5"/>
      <c r="AD20" s="5"/>
      <c r="AE20" s="5" t="s">
        <v>723</v>
      </c>
      <c r="AF20" s="5"/>
      <c r="AG20" s="5"/>
      <c r="AH20" s="5"/>
      <c r="AI20" s="3"/>
      <c r="AJ20" s="3"/>
    </row>
    <row r="21" spans="1:36" ht="14.1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5" t="s">
        <v>713</v>
      </c>
      <c r="T21" s="5"/>
      <c r="U21" s="5"/>
      <c r="V21" s="5"/>
      <c r="W21" s="5">
        <v>7.8945985638167766</v>
      </c>
      <c r="X21" s="5"/>
      <c r="Y21" s="5"/>
      <c r="Z21" s="5"/>
      <c r="AA21" s="5"/>
      <c r="AB21" s="5"/>
      <c r="AC21" s="5"/>
      <c r="AD21" s="5"/>
      <c r="AE21" s="5" t="s">
        <v>724</v>
      </c>
      <c r="AF21" s="5"/>
      <c r="AG21" s="5"/>
      <c r="AH21" s="5"/>
      <c r="AI21" s="3"/>
      <c r="AJ21" s="3"/>
    </row>
    <row r="22" spans="1:36" ht="14.1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5" t="s">
        <v>714</v>
      </c>
      <c r="T22" s="5"/>
      <c r="U22" s="5"/>
      <c r="V22" s="5"/>
      <c r="W22" s="5">
        <v>157.89197127633554</v>
      </c>
      <c r="X22" s="5"/>
      <c r="Y22" s="5"/>
      <c r="Z22" s="5"/>
      <c r="AA22" s="5" t="s">
        <v>249</v>
      </c>
      <c r="AB22" s="5"/>
      <c r="AC22" s="5"/>
      <c r="AD22" s="5"/>
      <c r="AE22" s="5" t="s">
        <v>725</v>
      </c>
      <c r="AF22" s="5"/>
      <c r="AG22" s="5"/>
      <c r="AH22" s="5"/>
      <c r="AI22" s="3"/>
      <c r="AJ22" s="3"/>
    </row>
    <row r="23" spans="1:36" ht="14.1" customHeigh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5" t="s">
        <v>715</v>
      </c>
      <c r="T23" s="5"/>
      <c r="U23" s="5"/>
      <c r="V23" s="5"/>
      <c r="W23" s="5">
        <v>0</v>
      </c>
      <c r="X23" s="5"/>
      <c r="Y23" s="5"/>
      <c r="Z23" s="5"/>
      <c r="AA23" s="5" t="s">
        <v>249</v>
      </c>
      <c r="AB23" s="5"/>
      <c r="AC23" s="5"/>
      <c r="AD23" s="5"/>
      <c r="AE23" s="5" t="s">
        <v>725</v>
      </c>
      <c r="AF23" s="5"/>
      <c r="AG23" s="5"/>
      <c r="AH23" s="5"/>
      <c r="AI23" s="3"/>
      <c r="AJ23" s="3"/>
    </row>
    <row r="24" spans="1:36" ht="14.1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5" t="s">
        <v>716</v>
      </c>
      <c r="T24" s="5"/>
      <c r="U24" s="5"/>
      <c r="V24" s="5"/>
      <c r="W24" s="5">
        <v>157.89197127633554</v>
      </c>
      <c r="X24" s="5"/>
      <c r="Y24" s="5"/>
      <c r="Z24" s="5"/>
      <c r="AA24" s="5" t="s">
        <v>249</v>
      </c>
      <c r="AB24" s="5"/>
      <c r="AC24" s="5"/>
      <c r="AD24" s="5"/>
      <c r="AE24" s="5" t="s">
        <v>726</v>
      </c>
      <c r="AF24" s="5"/>
      <c r="AG24" s="5"/>
      <c r="AH24" s="5"/>
      <c r="AI24" s="3"/>
      <c r="AJ24" s="3"/>
    </row>
    <row r="25" spans="1:36" ht="14.1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5" t="s">
        <v>717</v>
      </c>
      <c r="T25" s="5"/>
      <c r="U25" s="5"/>
      <c r="V25" s="5"/>
      <c r="W25" s="5">
        <v>7.8945985638167766</v>
      </c>
      <c r="X25" s="5"/>
      <c r="Y25" s="5"/>
      <c r="Z25" s="5"/>
      <c r="AA25" s="5"/>
      <c r="AB25" s="5"/>
      <c r="AC25" s="5"/>
      <c r="AD25" s="5"/>
      <c r="AE25" s="5" t="s">
        <v>743</v>
      </c>
      <c r="AF25" s="5"/>
      <c r="AG25" s="5"/>
      <c r="AH25" s="5"/>
      <c r="AI25" s="3"/>
      <c r="AJ25" s="3"/>
    </row>
    <row r="26" spans="1:36" ht="14.1" customHeigh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5" t="s">
        <v>718</v>
      </c>
      <c r="T26" s="5"/>
      <c r="U26" s="5"/>
      <c r="V26" s="5"/>
      <c r="W26" s="5">
        <v>2.5495754197814779E-4</v>
      </c>
      <c r="X26" s="5"/>
      <c r="Y26" s="5"/>
      <c r="Z26" s="5"/>
      <c r="AA26" s="5" t="s">
        <v>249</v>
      </c>
      <c r="AB26" s="5"/>
      <c r="AC26" s="5"/>
      <c r="AD26" s="5"/>
      <c r="AE26" s="5" t="s">
        <v>727</v>
      </c>
      <c r="AF26" s="5"/>
      <c r="AG26" s="5"/>
      <c r="AH26" s="5"/>
      <c r="AI26" s="3"/>
      <c r="AJ26" s="3"/>
    </row>
    <row r="27" spans="1:36" ht="14.1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5" t="s">
        <v>645</v>
      </c>
      <c r="T27" s="5"/>
      <c r="U27" s="5"/>
      <c r="V27" s="5"/>
      <c r="W27" s="5">
        <v>-3.8669461388103443E-3</v>
      </c>
      <c r="X27" s="5"/>
      <c r="Y27" s="5"/>
      <c r="Z27" s="5"/>
      <c r="AA27" s="5"/>
      <c r="AB27" s="5"/>
      <c r="AC27" s="5"/>
      <c r="AD27" s="5"/>
      <c r="AE27" s="5" t="s">
        <v>728</v>
      </c>
      <c r="AF27" s="5"/>
      <c r="AG27" s="5"/>
      <c r="AH27" s="5"/>
      <c r="AI27" s="3"/>
      <c r="AJ27" s="3"/>
    </row>
    <row r="28" spans="1:36" ht="14.1" customHeigh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5" t="s">
        <v>647</v>
      </c>
      <c r="T28" s="5"/>
      <c r="U28" s="5"/>
      <c r="V28" s="5"/>
      <c r="W28" s="5">
        <v>9.3128962835254708E-6</v>
      </c>
      <c r="X28" s="5"/>
      <c r="Y28" s="5"/>
      <c r="Z28" s="5"/>
      <c r="AA28" s="5" t="s">
        <v>253</v>
      </c>
      <c r="AB28" s="5"/>
      <c r="AC28" s="5"/>
      <c r="AD28" s="5"/>
      <c r="AE28" s="5" t="s">
        <v>729</v>
      </c>
      <c r="AF28" s="5"/>
      <c r="AG28" s="5"/>
      <c r="AH28" s="5"/>
      <c r="AI28" s="3"/>
      <c r="AJ28" s="3"/>
    </row>
    <row r="29" spans="1:36" ht="14.1" customHeigh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5" t="s">
        <v>649</v>
      </c>
      <c r="T29" s="5"/>
      <c r="U29" s="5"/>
      <c r="V29" s="5"/>
      <c r="W29" s="5">
        <v>5.3649492688882729E-6</v>
      </c>
      <c r="X29" s="5"/>
      <c r="Y29" s="5"/>
      <c r="Z29" s="5"/>
      <c r="AA29" s="5" t="s">
        <v>253</v>
      </c>
      <c r="AB29" s="5"/>
      <c r="AC29" s="5"/>
      <c r="AD29" s="5"/>
      <c r="AE29" s="5" t="s">
        <v>730</v>
      </c>
      <c r="AF29" s="5"/>
      <c r="AG29" s="5"/>
      <c r="AH29" s="5"/>
      <c r="AI29" s="3"/>
      <c r="AJ29" s="3"/>
    </row>
    <row r="30" spans="1:36" ht="14.1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5" t="s">
        <v>719</v>
      </c>
      <c r="T30" s="5"/>
      <c r="U30" s="5"/>
      <c r="V30" s="5"/>
      <c r="W30" s="5">
        <v>-3.5000000000000005E-3</v>
      </c>
      <c r="X30" s="5"/>
      <c r="Y30" s="5"/>
      <c r="Z30" s="5"/>
      <c r="AA30" s="5"/>
      <c r="AB30" s="5"/>
      <c r="AC30" s="5"/>
      <c r="AD30" s="5"/>
      <c r="AE30" s="5" t="s">
        <v>744</v>
      </c>
      <c r="AF30" s="5"/>
      <c r="AG30" s="5"/>
      <c r="AH30" s="5"/>
      <c r="AI30" s="3"/>
      <c r="AJ30" s="3"/>
    </row>
    <row r="31" spans="1:36" ht="14.1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3"/>
      <c r="AJ31" s="3"/>
    </row>
    <row r="32" spans="1:36" ht="14.1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5" t="s">
        <v>731</v>
      </c>
      <c r="T32" s="5"/>
      <c r="U32" s="5"/>
      <c r="V32" s="5"/>
      <c r="W32" s="5" t="s">
        <v>92</v>
      </c>
      <c r="X32" s="5"/>
      <c r="Y32" s="5"/>
      <c r="Z32" s="5"/>
      <c r="AA32" s="5"/>
      <c r="AB32" s="5"/>
      <c r="AC32" s="5"/>
      <c r="AD32" s="5"/>
      <c r="AE32" s="5" t="s">
        <v>734</v>
      </c>
      <c r="AF32" s="5"/>
      <c r="AG32" s="5"/>
      <c r="AH32" s="5"/>
      <c r="AI32" s="3"/>
      <c r="AJ32" s="3"/>
    </row>
    <row r="33" spans="1:36" ht="14.1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5" t="s">
        <v>419</v>
      </c>
      <c r="T33" s="5"/>
      <c r="U33" s="5"/>
      <c r="V33" s="5"/>
      <c r="W33" s="5">
        <v>2.6187889300210831E-2</v>
      </c>
      <c r="X33" s="5"/>
      <c r="Y33" s="5"/>
      <c r="Z33" s="5"/>
      <c r="AA33" s="5" t="s">
        <v>243</v>
      </c>
      <c r="AB33" s="5"/>
      <c r="AC33" s="5"/>
      <c r="AD33" s="5"/>
      <c r="AE33" s="5" t="s">
        <v>735</v>
      </c>
      <c r="AF33" s="5"/>
      <c r="AG33" s="5"/>
      <c r="AH33" s="5"/>
      <c r="AI33" s="3"/>
      <c r="AJ33" s="3"/>
    </row>
    <row r="34" spans="1:36" ht="14.1" customHeigh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5" t="s">
        <v>732</v>
      </c>
      <c r="T34" s="5"/>
      <c r="U34" s="5"/>
      <c r="V34" s="5"/>
      <c r="W34" s="5">
        <v>0.3</v>
      </c>
      <c r="X34" s="5"/>
      <c r="Y34" s="5"/>
      <c r="Z34" s="5"/>
      <c r="AA34" s="5" t="s">
        <v>243</v>
      </c>
      <c r="AB34" s="5"/>
      <c r="AC34" s="5"/>
      <c r="AD34" s="5"/>
      <c r="AE34" s="5" t="s">
        <v>745</v>
      </c>
      <c r="AF34" s="5"/>
      <c r="AG34" s="5"/>
      <c r="AH34" s="5"/>
      <c r="AI34" s="3"/>
      <c r="AJ34" s="3"/>
    </row>
    <row r="35" spans="1:36" ht="14.1" customHeigh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5" t="s">
        <v>733</v>
      </c>
      <c r="T35" s="5"/>
      <c r="U35" s="5"/>
      <c r="V35" s="5"/>
      <c r="W35" s="5">
        <v>1.3093944650105415E-4</v>
      </c>
      <c r="X35" s="5"/>
      <c r="Y35" s="5"/>
      <c r="Z35" s="5"/>
      <c r="AA35" s="5"/>
      <c r="AB35" s="5"/>
      <c r="AC35" s="5"/>
      <c r="AD35" s="5"/>
      <c r="AE35" s="5" t="s">
        <v>746</v>
      </c>
      <c r="AF35" s="5"/>
      <c r="AG35" s="5"/>
      <c r="AH35" s="5"/>
      <c r="AI35" s="3"/>
      <c r="AJ35" s="3"/>
    </row>
    <row r="36" spans="1:36" ht="14.1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14" t="s">
        <v>21</v>
      </c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</row>
    <row r="37" spans="1:36" ht="14.1" customHeigh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</row>
    <row r="38" spans="1:36" ht="14.1" customHeight="1" x14ac:dyDescent="0.25">
      <c r="A38" s="13" t="s">
        <v>0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</row>
    <row r="39" spans="1:36" ht="14.1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</row>
    <row r="40" spans="1:36" ht="14.1" customHeight="1" x14ac:dyDescent="0.25">
      <c r="A40" s="6" t="s">
        <v>1</v>
      </c>
      <c r="B40" s="6" t="str">
        <f>"N, "&amp;INDEX(rngUnitSettings,MATCH("Force",INDEX(rngUnitSettings,,1),0),2)</f>
        <v>N, tf</v>
      </c>
      <c r="C40" s="6" t="str">
        <f>"Mx, "&amp;INDEX(rngUnitSettings,MATCH("Moment",INDEX(rngUnitSettings,,1),0),2)</f>
        <v>Mx, tf*m</v>
      </c>
      <c r="D40" s="6" t="str">
        <f>"My, "&amp;INDEX(rngUnitSettings,MATCH("Moment",INDEX(rngUnitSettings,,1),0),2)</f>
        <v>My, tf*m</v>
      </c>
      <c r="E40" s="6" t="s">
        <v>5</v>
      </c>
      <c r="F40" s="6" t="s">
        <v>6</v>
      </c>
      <c r="G40" s="6" t="s">
        <v>7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</row>
    <row r="41" spans="1:36" ht="14.1" customHeight="1" x14ac:dyDescent="0.25">
      <c r="A41" s="5">
        <v>1</v>
      </c>
      <c r="B41" s="5">
        <v>100</v>
      </c>
      <c r="C41" s="5">
        <v>20</v>
      </c>
      <c r="D41" s="5"/>
      <c r="E41" s="5"/>
      <c r="F41" s="5"/>
      <c r="G41" s="5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</row>
    <row r="42" spans="1:36" ht="14.1" customHeight="1" x14ac:dyDescent="0.25">
      <c r="A42" s="5"/>
      <c r="B42" s="5"/>
      <c r="C42" s="5"/>
      <c r="D42" s="5"/>
      <c r="E42" s="5"/>
      <c r="F42" s="5"/>
      <c r="G42" s="5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</row>
    <row r="43" spans="1:36" ht="14.1" customHeight="1" x14ac:dyDescent="0.25">
      <c r="A43" s="5"/>
      <c r="B43" s="5"/>
      <c r="C43" s="5"/>
      <c r="D43" s="5"/>
      <c r="E43" s="5"/>
      <c r="F43" s="5"/>
      <c r="G43" s="5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</row>
    <row r="44" spans="1:36" ht="14.1" customHeight="1" x14ac:dyDescent="0.25">
      <c r="A44" s="5"/>
      <c r="B44" s="5"/>
      <c r="C44" s="5"/>
      <c r="D44" s="5"/>
      <c r="E44" s="5"/>
      <c r="F44" s="5"/>
      <c r="G44" s="5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</row>
    <row r="45" spans="1:36" ht="14.1" customHeight="1" x14ac:dyDescent="0.25">
      <c r="A45" s="5"/>
      <c r="B45" s="5"/>
      <c r="C45" s="5"/>
      <c r="D45" s="5"/>
      <c r="E45" s="5"/>
      <c r="F45" s="5"/>
      <c r="G45" s="5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</row>
    <row r="46" spans="1:36" ht="14.1" customHeight="1" x14ac:dyDescent="0.25">
      <c r="A46" s="5"/>
      <c r="B46" s="5"/>
      <c r="C46" s="5"/>
      <c r="D46" s="5"/>
      <c r="E46" s="5"/>
      <c r="F46" s="5"/>
      <c r="G46" s="5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</row>
    <row r="47" spans="1:36" ht="14.1" customHeight="1" x14ac:dyDescent="0.25">
      <c r="A47" s="5"/>
      <c r="B47" s="5"/>
      <c r="C47" s="5"/>
      <c r="D47" s="5"/>
      <c r="E47" s="5"/>
      <c r="F47" s="5"/>
      <c r="G47" s="5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</row>
    <row r="48" spans="1:36" ht="14.1" customHeight="1" x14ac:dyDescent="0.25">
      <c r="A48" s="5"/>
      <c r="B48" s="5"/>
      <c r="C48" s="5"/>
      <c r="D48" s="5"/>
      <c r="E48" s="5"/>
      <c r="F48" s="5"/>
      <c r="G48" s="5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</row>
    <row r="49" spans="1:36" ht="14.1" customHeight="1" x14ac:dyDescent="0.25">
      <c r="A49" s="5"/>
      <c r="B49" s="5"/>
      <c r="C49" s="5"/>
      <c r="D49" s="5"/>
      <c r="E49" s="5"/>
      <c r="F49" s="5"/>
      <c r="G49" s="5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</row>
    <row r="50" spans="1:36" ht="14.1" customHeight="1" x14ac:dyDescent="0.25">
      <c r="A50" s="5"/>
      <c r="B50" s="5"/>
      <c r="C50" s="5"/>
      <c r="D50" s="5"/>
      <c r="E50" s="5"/>
      <c r="F50" s="5"/>
      <c r="G50" s="5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</row>
    <row r="51" spans="1:36" x14ac:dyDescent="0.25">
      <c r="A51" s="5"/>
      <c r="B51" s="5"/>
      <c r="C51" s="5"/>
      <c r="D51" s="5"/>
      <c r="E51" s="5"/>
      <c r="F51" s="5"/>
      <c r="G51" s="5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</row>
    <row r="52" spans="1:36" x14ac:dyDescent="0.25">
      <c r="A52" s="5"/>
      <c r="B52" s="5"/>
      <c r="C52" s="5"/>
      <c r="D52" s="5"/>
      <c r="E52" s="5"/>
      <c r="F52" s="5"/>
      <c r="G52" s="5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</row>
    <row r="53" spans="1:36" x14ac:dyDescent="0.25">
      <c r="A53" s="5"/>
      <c r="B53" s="5"/>
      <c r="C53" s="5"/>
      <c r="D53" s="5"/>
      <c r="E53" s="5"/>
      <c r="F53" s="5"/>
      <c r="G53" s="5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</row>
    <row r="54" spans="1:36" x14ac:dyDescent="0.25">
      <c r="A54" s="5"/>
      <c r="B54" s="5"/>
      <c r="C54" s="5"/>
      <c r="D54" s="5"/>
      <c r="E54" s="5"/>
      <c r="F54" s="5"/>
      <c r="G54" s="5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</row>
    <row r="55" spans="1:36" x14ac:dyDescent="0.25">
      <c r="A55" s="5"/>
      <c r="B55" s="5"/>
      <c r="C55" s="5"/>
      <c r="D55" s="5"/>
      <c r="E55" s="5"/>
      <c r="F55" s="5"/>
      <c r="G55" s="5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</row>
    <row r="56" spans="1:36" x14ac:dyDescent="0.25">
      <c r="A56" s="5"/>
      <c r="B56" s="5"/>
      <c r="C56" s="5"/>
      <c r="D56" s="5"/>
      <c r="E56" s="5"/>
      <c r="F56" s="5"/>
      <c r="G56" s="5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</row>
    <row r="57" spans="1:36" x14ac:dyDescent="0.25">
      <c r="A57" s="5"/>
      <c r="B57" s="5"/>
      <c r="C57" s="5"/>
      <c r="D57" s="5"/>
      <c r="E57" s="5"/>
      <c r="F57" s="5"/>
      <c r="G57" s="5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</row>
    <row r="58" spans="1:36" x14ac:dyDescent="0.25">
      <c r="A58" s="5"/>
      <c r="B58" s="5"/>
      <c r="C58" s="5"/>
      <c r="D58" s="5"/>
      <c r="E58" s="5"/>
      <c r="F58" s="5"/>
      <c r="G58" s="5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</row>
    <row r="59" spans="1:36" x14ac:dyDescent="0.25">
      <c r="A59" s="5"/>
      <c r="B59" s="5"/>
      <c r="C59" s="5"/>
      <c r="D59" s="5"/>
      <c r="E59" s="5"/>
      <c r="F59" s="5"/>
      <c r="G59" s="5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</row>
    <row r="60" spans="1:36" x14ac:dyDescent="0.25">
      <c r="A60" s="5"/>
      <c r="B60" s="5"/>
      <c r="C60" s="5"/>
      <c r="D60" s="5"/>
      <c r="E60" s="5"/>
      <c r="F60" s="5"/>
      <c r="G60" s="5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</row>
  </sheetData>
  <mergeCells count="6">
    <mergeCell ref="A1:R2"/>
    <mergeCell ref="A38:R38"/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6363B-D750-449C-8260-AF0AFA8B8BF4}">
  <sheetPr codeName="Лист2"/>
  <dimension ref="A1:DK260"/>
  <sheetViews>
    <sheetView topLeftCell="A11" workbookViewId="0">
      <selection activeCell="B19" sqref="B19"/>
    </sheetView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8" max="12" width="9.28515625" bestFit="1" customWidth="1"/>
    <col min="14" max="14" width="14.7109375" customWidth="1"/>
    <col min="15" max="17" width="16.7109375" customWidth="1"/>
    <col min="18" max="18" width="12.42578125" bestFit="1" customWidth="1"/>
    <col min="70" max="115" width="0" hidden="1" customWidth="1"/>
  </cols>
  <sheetData>
    <row r="1" spans="1:115" x14ac:dyDescent="0.25">
      <c r="A1" s="7" t="s">
        <v>22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 t="s">
        <v>326</v>
      </c>
      <c r="BJ1" s="2"/>
      <c r="BK1" s="2"/>
      <c r="BL1" s="2"/>
      <c r="BM1" s="2"/>
      <c r="BN1" s="2"/>
      <c r="BO1" s="2"/>
      <c r="BP1" s="2"/>
      <c r="BQ1" s="2"/>
      <c r="BR1" s="2" t="s">
        <v>243</v>
      </c>
      <c r="BS1" s="2" t="s">
        <v>245</v>
      </c>
      <c r="BT1" s="2" t="s">
        <v>2</v>
      </c>
      <c r="BU1" s="2" t="s">
        <v>250</v>
      </c>
      <c r="BV1" s="2" t="s">
        <v>260</v>
      </c>
      <c r="BW1" s="2" t="s">
        <v>253</v>
      </c>
      <c r="BX1" s="2" t="s">
        <v>269</v>
      </c>
      <c r="BY1" s="2" t="s">
        <v>271</v>
      </c>
      <c r="BZ1" s="2" t="s">
        <v>273</v>
      </c>
      <c r="CA1" s="2"/>
      <c r="CB1" s="2" t="s">
        <v>26</v>
      </c>
      <c r="CC1" s="2" t="s">
        <v>389</v>
      </c>
      <c r="CD1" s="2" t="s">
        <v>56</v>
      </c>
      <c r="CE1" s="2" t="s">
        <v>392</v>
      </c>
      <c r="CF1" s="2" t="s">
        <v>79</v>
      </c>
      <c r="CG1" s="2" t="s">
        <v>394</v>
      </c>
      <c r="CH1" s="2" t="s">
        <v>111</v>
      </c>
      <c r="CI1" s="2" t="s">
        <v>92</v>
      </c>
      <c r="CJ1" s="2" t="s">
        <v>92</v>
      </c>
      <c r="CK1" s="2" t="s">
        <v>149</v>
      </c>
      <c r="CL1" s="2" t="s">
        <v>396</v>
      </c>
      <c r="CM1" s="2" t="s">
        <v>92</v>
      </c>
      <c r="CN1" s="2" t="s">
        <v>92</v>
      </c>
      <c r="CO1" s="2" t="s">
        <v>92</v>
      </c>
      <c r="CP1" s="2" t="s">
        <v>92</v>
      </c>
      <c r="CQ1" s="2" t="s">
        <v>92</v>
      </c>
      <c r="CR1" s="2" t="s">
        <v>149</v>
      </c>
      <c r="CS1" s="2" t="s">
        <v>92</v>
      </c>
      <c r="CT1" s="2" t="s">
        <v>92</v>
      </c>
      <c r="CU1" s="2" t="s">
        <v>92</v>
      </c>
      <c r="CV1" s="2" t="s">
        <v>92</v>
      </c>
      <c r="CW1" s="2" t="s">
        <v>92</v>
      </c>
      <c r="CX1" s="2" t="s">
        <v>92</v>
      </c>
      <c r="CY1" s="2" t="s">
        <v>92</v>
      </c>
      <c r="CZ1" s="2" t="s">
        <v>218</v>
      </c>
      <c r="DA1" s="2" t="s">
        <v>140</v>
      </c>
      <c r="DB1" s="2"/>
      <c r="DC1" s="2"/>
      <c r="DD1" s="2"/>
      <c r="DE1" s="2"/>
      <c r="DF1" s="2" t="s">
        <v>92</v>
      </c>
      <c r="DG1" s="2" t="s">
        <v>283</v>
      </c>
      <c r="DH1" s="2" t="s">
        <v>300</v>
      </c>
      <c r="DI1" s="2" t="s">
        <v>399</v>
      </c>
      <c r="DJ1" s="2" t="s">
        <v>326</v>
      </c>
      <c r="DK1" s="2" t="s">
        <v>378</v>
      </c>
    </row>
    <row r="2" spans="1:115" x14ac:dyDescent="0.25">
      <c r="A2" s="2"/>
      <c r="B2" s="2"/>
      <c r="C2" s="2"/>
      <c r="D2" s="2"/>
      <c r="E2" s="2"/>
      <c r="F2" s="16" t="s">
        <v>233</v>
      </c>
      <c r="G2" s="17"/>
      <c r="H2" s="17"/>
      <c r="I2" s="2"/>
      <c r="J2" s="16" t="s">
        <v>236</v>
      </c>
      <c r="K2" s="17"/>
      <c r="L2" s="17"/>
      <c r="M2" s="2"/>
      <c r="N2" s="16" t="s">
        <v>237</v>
      </c>
      <c r="O2" s="17"/>
      <c r="P2" s="17"/>
      <c r="Q2" s="17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 t="s">
        <v>330</v>
      </c>
      <c r="BJ2" s="2"/>
      <c r="BK2" s="2"/>
      <c r="BL2" s="2"/>
      <c r="BM2" s="2"/>
      <c r="BN2" s="2"/>
      <c r="BO2" s="2"/>
      <c r="BP2" s="2"/>
      <c r="BQ2" s="2"/>
      <c r="BR2" s="2" t="s">
        <v>254</v>
      </c>
      <c r="BS2" s="2" t="s">
        <v>256</v>
      </c>
      <c r="BT2" s="2" t="s">
        <v>258</v>
      </c>
      <c r="BU2" s="2" t="s">
        <v>259</v>
      </c>
      <c r="BV2" s="2" t="s">
        <v>261</v>
      </c>
      <c r="BW2" s="2" t="s">
        <v>264</v>
      </c>
      <c r="BX2" s="2" t="s">
        <v>268</v>
      </c>
      <c r="BY2" s="2" t="s">
        <v>274</v>
      </c>
      <c r="BZ2" s="2" t="s">
        <v>275</v>
      </c>
      <c r="CA2" s="2"/>
      <c r="CB2" s="2" t="s">
        <v>388</v>
      </c>
      <c r="CC2" s="2" t="s">
        <v>390</v>
      </c>
      <c r="CD2" s="2" t="s">
        <v>391</v>
      </c>
      <c r="CE2" s="2" t="s">
        <v>76</v>
      </c>
      <c r="CF2" s="2" t="s">
        <v>393</v>
      </c>
      <c r="CG2" s="2" t="s">
        <v>108</v>
      </c>
      <c r="CH2" s="2" t="s">
        <v>395</v>
      </c>
      <c r="CI2" s="2" t="s">
        <v>201</v>
      </c>
      <c r="CJ2" s="2" t="s">
        <v>201</v>
      </c>
      <c r="CK2" s="2" t="s">
        <v>235</v>
      </c>
      <c r="CL2" s="2" t="s">
        <v>152</v>
      </c>
      <c r="CM2" s="2" t="s">
        <v>201</v>
      </c>
      <c r="CN2" s="2" t="s">
        <v>201</v>
      </c>
      <c r="CO2" s="2" t="s">
        <v>201</v>
      </c>
      <c r="CP2" s="2" t="s">
        <v>201</v>
      </c>
      <c r="CQ2" s="2" t="s">
        <v>201</v>
      </c>
      <c r="CR2" s="2" t="s">
        <v>235</v>
      </c>
      <c r="CS2" s="2" t="s">
        <v>201</v>
      </c>
      <c r="CT2" s="2" t="s">
        <v>201</v>
      </c>
      <c r="CU2" s="2" t="s">
        <v>201</v>
      </c>
      <c r="CV2" s="2" t="s">
        <v>201</v>
      </c>
      <c r="CW2" s="2" t="s">
        <v>201</v>
      </c>
      <c r="CX2" s="2" t="s">
        <v>201</v>
      </c>
      <c r="CY2" s="2" t="s">
        <v>201</v>
      </c>
      <c r="CZ2" s="2" t="s">
        <v>397</v>
      </c>
      <c r="DA2" s="2">
        <f>IF(INDEX(rngLoadCombinations,2,1)="","",INDEX(rngLoadCombinations,2,1))</f>
        <v>1</v>
      </c>
      <c r="DB2" s="2"/>
      <c r="DC2" s="2"/>
      <c r="DD2" s="2"/>
      <c r="DE2" s="2"/>
      <c r="DF2" s="2" t="s">
        <v>201</v>
      </c>
      <c r="DG2" s="2" t="s">
        <v>398</v>
      </c>
      <c r="DH2" s="2" t="s">
        <v>401</v>
      </c>
      <c r="DI2" s="2" t="s">
        <v>303</v>
      </c>
      <c r="DJ2" s="2" t="s">
        <v>330</v>
      </c>
      <c r="DK2" s="2" t="s">
        <v>387</v>
      </c>
    </row>
    <row r="3" spans="1:115" x14ac:dyDescent="0.25">
      <c r="A3" s="8" t="s">
        <v>23</v>
      </c>
      <c r="B3" s="8" t="s">
        <v>18</v>
      </c>
      <c r="C3" s="8" t="s">
        <v>19</v>
      </c>
      <c r="D3" s="8" t="s">
        <v>20</v>
      </c>
      <c r="E3" s="2"/>
      <c r="F3" s="8" t="s">
        <v>234</v>
      </c>
      <c r="G3" s="8" t="s">
        <v>235</v>
      </c>
      <c r="H3" s="8" t="str">
        <f>"Stress, "&amp;INDEX(rngUnitSettings,MATCH("Stress",INDEX(rngUnitSettings,,1),0),2)</f>
        <v>Stress, MPa</v>
      </c>
      <c r="I3" s="2"/>
      <c r="J3" s="8" t="s">
        <v>234</v>
      </c>
      <c r="K3" s="8" t="s">
        <v>235</v>
      </c>
      <c r="L3" s="8" t="str">
        <f>"Stress, "&amp;INDEX(rngUnitSettings,MATCH("Stress",INDEX(rngUnitSettings,,1),0),2)</f>
        <v>Stress, MPa</v>
      </c>
      <c r="M3" s="2"/>
      <c r="N3" s="8" t="s">
        <v>238</v>
      </c>
      <c r="O3" s="8" t="s">
        <v>239</v>
      </c>
      <c r="P3" s="8" t="s">
        <v>240</v>
      </c>
      <c r="Q3" s="8" t="s">
        <v>241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 t="s">
        <v>255</v>
      </c>
      <c r="BS3" s="2" t="s">
        <v>257</v>
      </c>
      <c r="BT3" s="2" t="s">
        <v>247</v>
      </c>
      <c r="BU3" s="2" t="s">
        <v>249</v>
      </c>
      <c r="BV3" s="2" t="s">
        <v>251</v>
      </c>
      <c r="BW3" s="2"/>
      <c r="BX3" s="2"/>
      <c r="BY3" s="2"/>
      <c r="BZ3" s="2"/>
      <c r="CA3" s="2"/>
      <c r="CB3" s="2"/>
      <c r="CC3" s="2" t="s">
        <v>29</v>
      </c>
      <c r="CD3" s="2"/>
      <c r="CE3" s="2"/>
      <c r="CF3" s="2"/>
      <c r="CG3" s="2"/>
      <c r="CH3" s="2" t="s">
        <v>393</v>
      </c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 t="str">
        <f>IF(INDEX(rngLoadCombinations,3,1)="","",INDEX(rngLoadCombinations,3,1))</f>
        <v/>
      </c>
      <c r="DB3" s="2"/>
      <c r="DC3" s="2"/>
      <c r="DD3" s="2"/>
      <c r="DE3" s="2"/>
      <c r="DF3" s="2"/>
      <c r="DG3" s="2"/>
      <c r="DH3" s="2" t="s">
        <v>402</v>
      </c>
      <c r="DI3" s="2" t="s">
        <v>400</v>
      </c>
      <c r="DJ3" s="2"/>
      <c r="DK3" s="2"/>
    </row>
    <row r="4" spans="1:115" x14ac:dyDescent="0.25">
      <c r="A4" s="9" t="s">
        <v>24</v>
      </c>
      <c r="B4" s="9"/>
      <c r="C4" s="9"/>
      <c r="D4" s="9"/>
      <c r="E4" s="2"/>
      <c r="F4" s="2">
        <v>1</v>
      </c>
      <c r="G4" s="2">
        <v>1E-4</v>
      </c>
      <c r="H4" s="2">
        <v>1.8</v>
      </c>
      <c r="I4" s="2"/>
      <c r="J4" s="2">
        <v>1</v>
      </c>
      <c r="K4" s="2">
        <v>-2.5000000000000001E-2</v>
      </c>
      <c r="L4" s="2">
        <v>-350</v>
      </c>
      <c r="M4" s="2"/>
      <c r="N4" s="2" t="s">
        <v>242</v>
      </c>
      <c r="O4" s="2" t="s">
        <v>243</v>
      </c>
      <c r="P4" s="10" t="s">
        <v>243</v>
      </c>
      <c r="Q4" s="2" t="s">
        <v>243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 t="s">
        <v>262</v>
      </c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 t="str">
        <f>IF(INDEX(rngLoadCombinations,4,1)="","",INDEX(rngLoadCombinations,4,1))</f>
        <v/>
      </c>
      <c r="DB4" s="2"/>
      <c r="DC4" s="2"/>
      <c r="DD4" s="2"/>
      <c r="DE4" s="2"/>
      <c r="DF4" s="2"/>
      <c r="DG4" s="2"/>
      <c r="DH4" s="2" t="s">
        <v>403</v>
      </c>
      <c r="DI4" s="2"/>
      <c r="DJ4" s="2"/>
      <c r="DK4" s="2"/>
    </row>
    <row r="5" spans="1:115" x14ac:dyDescent="0.25">
      <c r="A5" s="2" t="s">
        <v>25</v>
      </c>
      <c r="B5" s="2" t="s">
        <v>26</v>
      </c>
      <c r="C5" s="2"/>
      <c r="D5" s="2" t="s">
        <v>27</v>
      </c>
      <c r="E5" s="2"/>
      <c r="F5" s="2">
        <v>2</v>
      </c>
      <c r="G5" s="2">
        <v>0</v>
      </c>
      <c r="H5" s="2">
        <v>0</v>
      </c>
      <c r="I5" s="2"/>
      <c r="J5" s="2">
        <v>2</v>
      </c>
      <c r="K5" s="2">
        <v>-0.01</v>
      </c>
      <c r="L5" s="2">
        <v>-350</v>
      </c>
      <c r="M5" s="2"/>
      <c r="N5" s="2" t="s">
        <v>244</v>
      </c>
      <c r="O5" s="2" t="s">
        <v>245</v>
      </c>
      <c r="P5" s="10" t="s">
        <v>245</v>
      </c>
      <c r="Q5" s="2" t="s">
        <v>245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 t="s">
        <v>263</v>
      </c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 t="str">
        <f>IF(INDEX(rngLoadCombinations,5,1)="","",INDEX(rngLoadCombinations,5,1))</f>
        <v/>
      </c>
      <c r="DB5" s="2"/>
      <c r="DC5" s="2"/>
      <c r="DD5" s="2"/>
      <c r="DE5" s="2"/>
      <c r="DF5" s="2"/>
      <c r="DG5" s="2"/>
      <c r="DH5" s="2" t="s">
        <v>404</v>
      </c>
      <c r="DI5" s="2"/>
      <c r="DJ5" s="2"/>
      <c r="DK5" s="2"/>
    </row>
    <row r="6" spans="1:115" x14ac:dyDescent="0.25">
      <c r="A6" s="2" t="s">
        <v>28</v>
      </c>
      <c r="B6" s="2" t="s">
        <v>29</v>
      </c>
      <c r="C6" s="2"/>
      <c r="D6" s="2" t="s">
        <v>30</v>
      </c>
      <c r="E6" s="2"/>
      <c r="F6" s="2">
        <v>3</v>
      </c>
      <c r="G6" s="2">
        <v>-1.5E-3</v>
      </c>
      <c r="H6" s="2">
        <v>-15.5</v>
      </c>
      <c r="I6" s="2"/>
      <c r="J6" s="2">
        <v>3</v>
      </c>
      <c r="K6" s="2">
        <v>-1.75E-3</v>
      </c>
      <c r="L6" s="2">
        <v>-350</v>
      </c>
      <c r="M6" s="2"/>
      <c r="N6" s="2" t="s">
        <v>246</v>
      </c>
      <c r="O6" s="2" t="s">
        <v>247</v>
      </c>
      <c r="P6" s="10" t="s">
        <v>2</v>
      </c>
      <c r="Q6" s="2" t="s">
        <v>247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 t="str">
        <f>IF(INDEX(rngLoadCombinations,6,1)="","",INDEX(rngLoadCombinations,6,1))</f>
        <v/>
      </c>
      <c r="DB6" s="2"/>
      <c r="DC6" s="2"/>
      <c r="DD6" s="2"/>
      <c r="DE6" s="2"/>
      <c r="DF6" s="2"/>
      <c r="DG6" s="2"/>
      <c r="DH6" s="2"/>
      <c r="DI6" s="2"/>
      <c r="DJ6" s="2"/>
      <c r="DK6" s="2"/>
    </row>
    <row r="7" spans="1:115" x14ac:dyDescent="0.25">
      <c r="A7" s="2" t="s">
        <v>31</v>
      </c>
      <c r="B7" s="2">
        <v>50</v>
      </c>
      <c r="C7" s="2" t="str">
        <f>INDEX(rngUnitSettings,MATCH("Length",INDEX(rngUnitSettings,,1),0),2)</f>
        <v>mm</v>
      </c>
      <c r="D7" s="2" t="s">
        <v>33</v>
      </c>
      <c r="E7" s="2"/>
      <c r="F7" s="2">
        <v>4</v>
      </c>
      <c r="G7" s="2">
        <v>-2E-3</v>
      </c>
      <c r="H7" s="2">
        <v>-15.5</v>
      </c>
      <c r="I7" s="2"/>
      <c r="J7" s="2">
        <v>4</v>
      </c>
      <c r="K7" s="2">
        <v>0</v>
      </c>
      <c r="L7" s="2">
        <v>0</v>
      </c>
      <c r="M7" s="2"/>
      <c r="N7" s="2" t="s">
        <v>248</v>
      </c>
      <c r="O7" s="2" t="s">
        <v>249</v>
      </c>
      <c r="P7" s="10" t="s">
        <v>250</v>
      </c>
      <c r="Q7" s="2" t="s">
        <v>249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 t="str">
        <f>IF(INDEX(rngLoadCombinations,7,1)="","",INDEX(rngLoadCombinations,7,1))</f>
        <v/>
      </c>
      <c r="DB7" s="2"/>
      <c r="DC7" s="2"/>
      <c r="DD7" s="2"/>
      <c r="DE7" s="2"/>
      <c r="DF7" s="2"/>
      <c r="DG7" s="2"/>
      <c r="DH7" s="2"/>
      <c r="DI7" s="2"/>
      <c r="DJ7" s="2"/>
      <c r="DK7" s="2"/>
    </row>
    <row r="8" spans="1:115" x14ac:dyDescent="0.25">
      <c r="A8" s="2" t="s">
        <v>34</v>
      </c>
      <c r="B8" s="2">
        <v>1</v>
      </c>
      <c r="C8" s="2" t="s">
        <v>35</v>
      </c>
      <c r="D8" s="2" t="s">
        <v>36</v>
      </c>
      <c r="E8" s="2"/>
      <c r="F8" s="2">
        <v>5</v>
      </c>
      <c r="G8" s="2">
        <v>-3.5000000000000001E-3</v>
      </c>
      <c r="H8" s="2">
        <v>-15.5</v>
      </c>
      <c r="I8" s="2"/>
      <c r="J8" s="2">
        <v>5</v>
      </c>
      <c r="K8" s="2">
        <v>1.75E-3</v>
      </c>
      <c r="L8" s="2">
        <v>350</v>
      </c>
      <c r="M8" s="2"/>
      <c r="N8" s="2" t="s">
        <v>149</v>
      </c>
      <c r="O8" s="2" t="s">
        <v>251</v>
      </c>
      <c r="P8" s="10" t="s">
        <v>251</v>
      </c>
      <c r="Q8" s="2" t="s">
        <v>251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 t="str">
        <f>IF(INDEX(rngLoadCombinations,8,1)="","",INDEX(rngLoadCombinations,8,1))</f>
        <v/>
      </c>
      <c r="DB8" s="2"/>
      <c r="DC8" s="2"/>
      <c r="DD8" s="2"/>
      <c r="DE8" s="2"/>
      <c r="DF8" s="2"/>
      <c r="DG8" s="2"/>
      <c r="DH8" s="2"/>
      <c r="DI8" s="2"/>
      <c r="DJ8" s="2"/>
      <c r="DK8" s="2"/>
    </row>
    <row r="9" spans="1:115" x14ac:dyDescent="0.25">
      <c r="A9" s="2" t="s">
        <v>37</v>
      </c>
      <c r="B9" s="2">
        <v>0</v>
      </c>
      <c r="C9" s="2" t="str">
        <f>INDEX(rngUnitSettings,MATCH("Length",INDEX(rngUnitSettings,,1),0),2)</f>
        <v>mm</v>
      </c>
      <c r="D9" s="2" t="s">
        <v>38</v>
      </c>
      <c r="E9" s="2"/>
      <c r="F9" s="2"/>
      <c r="G9" s="2"/>
      <c r="H9" s="2"/>
      <c r="I9" s="2"/>
      <c r="J9" s="2">
        <v>6</v>
      </c>
      <c r="K9" s="2">
        <v>0.01</v>
      </c>
      <c r="L9" s="2">
        <v>350</v>
      </c>
      <c r="M9" s="2"/>
      <c r="N9" s="2" t="s">
        <v>252</v>
      </c>
      <c r="O9" s="2" t="s">
        <v>253</v>
      </c>
      <c r="P9" s="10" t="s">
        <v>253</v>
      </c>
      <c r="Q9" s="2" t="s">
        <v>253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 t="str">
        <f>IF(INDEX(rngLoadCombinations,9,1)="","",INDEX(rngLoadCombinations,9,1))</f>
        <v/>
      </c>
      <c r="DB9" s="2"/>
      <c r="DC9" s="2"/>
      <c r="DD9" s="2"/>
      <c r="DE9" s="2"/>
      <c r="DF9" s="2"/>
      <c r="DG9" s="2"/>
      <c r="DH9" s="2"/>
      <c r="DI9" s="2"/>
      <c r="DJ9" s="2"/>
      <c r="DK9" s="2"/>
    </row>
    <row r="10" spans="1:115" x14ac:dyDescent="0.25">
      <c r="A10" s="2" t="s">
        <v>39</v>
      </c>
      <c r="B10" s="2">
        <v>0</v>
      </c>
      <c r="C10" s="2" t="str">
        <f>INDEX(rngUnitSettings,MATCH("Length",INDEX(rngUnitSettings,,1),0),2)</f>
        <v>mm</v>
      </c>
      <c r="D10" s="2" t="s">
        <v>40</v>
      </c>
      <c r="E10" s="2"/>
      <c r="F10" s="2"/>
      <c r="G10" s="2"/>
      <c r="H10" s="2"/>
      <c r="I10" s="2"/>
      <c r="J10" s="2">
        <v>7</v>
      </c>
      <c r="K10" s="2">
        <v>2.5000000000000001E-2</v>
      </c>
      <c r="L10" s="2">
        <v>350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 t="str">
        <f>IF(INDEX(rngLoadCombinations,10,1)="","",INDEX(rngLoadCombinations,10,1))</f>
        <v/>
      </c>
      <c r="DB10" s="2"/>
      <c r="DC10" s="2"/>
      <c r="DD10" s="2"/>
      <c r="DE10" s="2"/>
      <c r="DF10" s="2"/>
      <c r="DG10" s="2"/>
      <c r="DH10" s="2"/>
      <c r="DI10" s="2"/>
      <c r="DJ10" s="2"/>
      <c r="DK10" s="2"/>
    </row>
    <row r="11" spans="1:115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 t="str">
        <f>IF(INDEX(rngLoadCombinations,11,1)="","",INDEX(rngLoadCombinations,11,1))</f>
        <v/>
      </c>
      <c r="DB11" s="2"/>
      <c r="DC11" s="2"/>
      <c r="DD11" s="2"/>
      <c r="DE11" s="2"/>
      <c r="DF11" s="2"/>
      <c r="DG11" s="2"/>
      <c r="DH11" s="2"/>
      <c r="DI11" s="2"/>
      <c r="DJ11" s="2"/>
      <c r="DK11" s="2"/>
    </row>
    <row r="12" spans="1:115" x14ac:dyDescent="0.25">
      <c r="A12" s="9" t="s">
        <v>41</v>
      </c>
      <c r="B12" s="9"/>
      <c r="C12" s="9"/>
      <c r="D12" s="9"/>
      <c r="E12" s="2"/>
      <c r="F12" s="2"/>
      <c r="G12" s="2"/>
      <c r="H12" s="2"/>
      <c r="I12" s="2"/>
      <c r="J12" s="2"/>
      <c r="K12" s="2"/>
      <c r="L12" s="2"/>
      <c r="M12" s="2"/>
      <c r="N12" s="16" t="s">
        <v>265</v>
      </c>
      <c r="O12" s="17"/>
      <c r="P12" s="17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 t="str">
        <f>IF(INDEX(rngLoadCombinations,12,1)="","",INDEX(rngLoadCombinations,12,1))</f>
        <v/>
      </c>
      <c r="DB12" s="2"/>
      <c r="DC12" s="2"/>
      <c r="DD12" s="2"/>
      <c r="DE12" s="2"/>
      <c r="DF12" s="2"/>
      <c r="DG12" s="2"/>
      <c r="DH12" s="2"/>
      <c r="DI12" s="2"/>
      <c r="DJ12" s="2"/>
      <c r="DK12" s="2"/>
    </row>
    <row r="13" spans="1:115" x14ac:dyDescent="0.25">
      <c r="A13" s="2" t="s">
        <v>42</v>
      </c>
      <c r="B13" s="2" t="s">
        <v>43</v>
      </c>
      <c r="C13" s="2"/>
      <c r="D13" s="2" t="s">
        <v>44</v>
      </c>
      <c r="E13" s="2"/>
      <c r="F13" s="2"/>
      <c r="G13" s="2"/>
      <c r="H13" s="2"/>
      <c r="I13" s="2"/>
      <c r="J13" s="2"/>
      <c r="K13" s="2"/>
      <c r="L13" s="2"/>
      <c r="M13" s="2"/>
      <c r="N13" s="8" t="s">
        <v>238</v>
      </c>
      <c r="O13" s="8" t="s">
        <v>266</v>
      </c>
      <c r="P13" s="8" t="s">
        <v>240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 t="str">
        <f>IF(INDEX(rngLoadCombinations,13,1)="","",INDEX(rngLoadCombinations,13,1))</f>
        <v/>
      </c>
      <c r="DB13" s="2"/>
      <c r="DC13" s="2"/>
      <c r="DD13" s="2"/>
      <c r="DE13" s="2"/>
      <c r="DF13" s="2"/>
      <c r="DG13" s="2"/>
      <c r="DH13" s="2"/>
      <c r="DI13" s="2"/>
      <c r="DJ13" s="2"/>
      <c r="DK13" s="2"/>
    </row>
    <row r="14" spans="1:115" x14ac:dyDescent="0.25">
      <c r="A14" s="2" t="s">
        <v>45</v>
      </c>
      <c r="B14" s="2">
        <v>15.5</v>
      </c>
      <c r="C14" s="2" t="str">
        <f>INDEX(rngUnitSettings,MATCH("Stress",INDEX(rngUnitSettings,,1),0),2)</f>
        <v>MPa</v>
      </c>
      <c r="D14" s="2" t="s">
        <v>46</v>
      </c>
      <c r="E14" s="2"/>
      <c r="F14" s="2"/>
      <c r="G14" s="2"/>
      <c r="H14" s="2"/>
      <c r="I14" s="2"/>
      <c r="J14" s="2"/>
      <c r="K14" s="2"/>
      <c r="L14" s="2"/>
      <c r="M14" s="2"/>
      <c r="N14" s="2" t="s">
        <v>267</v>
      </c>
      <c r="O14" s="2" t="s">
        <v>268</v>
      </c>
      <c r="P14" s="10" t="s">
        <v>269</v>
      </c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 t="str">
        <f>IF(INDEX(rngLoadCombinations,14,1)="","",INDEX(rngLoadCombinations,14,1))</f>
        <v/>
      </c>
      <c r="DB14" s="2"/>
      <c r="DC14" s="2"/>
      <c r="DD14" s="2"/>
      <c r="DE14" s="2"/>
      <c r="DF14" s="2"/>
      <c r="DG14" s="2"/>
      <c r="DH14" s="2"/>
      <c r="DI14" s="2"/>
      <c r="DJ14" s="2"/>
      <c r="DK14" s="2"/>
    </row>
    <row r="15" spans="1:115" x14ac:dyDescent="0.25">
      <c r="A15" s="2" t="s">
        <v>47</v>
      </c>
      <c r="B15" s="2">
        <v>1.1000000000000001</v>
      </c>
      <c r="C15" s="2" t="str">
        <f>INDEX(rngUnitSettings,MATCH("Stress",INDEX(rngUnitSettings,,1),0),2)</f>
        <v>MPa</v>
      </c>
      <c r="D15" s="2" t="s">
        <v>48</v>
      </c>
      <c r="E15" s="2"/>
      <c r="F15" s="16" t="s">
        <v>310</v>
      </c>
      <c r="G15" s="17"/>
      <c r="H15" s="17"/>
      <c r="I15" s="17"/>
      <c r="J15" s="16" t="s">
        <v>331</v>
      </c>
      <c r="K15" s="17"/>
      <c r="L15" s="17"/>
      <c r="M15" s="17"/>
      <c r="N15" s="2" t="s">
        <v>270</v>
      </c>
      <c r="O15" s="2" t="s">
        <v>271</v>
      </c>
      <c r="P15" s="10" t="s">
        <v>271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 t="str">
        <f>IF(INDEX(rngLoadCombinations,15,1)="","",INDEX(rngLoadCombinations,15,1))</f>
        <v/>
      </c>
      <c r="DB15" s="2"/>
      <c r="DC15" s="2"/>
      <c r="DD15" s="2"/>
      <c r="DE15" s="2"/>
      <c r="DF15" s="2"/>
      <c r="DG15" s="2"/>
      <c r="DH15" s="2"/>
      <c r="DI15" s="2"/>
      <c r="DJ15" s="2"/>
      <c r="DK15" s="2"/>
    </row>
    <row r="16" spans="1:115" x14ac:dyDescent="0.25">
      <c r="A16" s="2" t="s">
        <v>49</v>
      </c>
      <c r="B16" s="2">
        <v>22</v>
      </c>
      <c r="C16" s="2" t="str">
        <f>INDEX(rngUnitSettings,MATCH("Stress",INDEX(rngUnitSettings,,1),0),2)</f>
        <v>MPa</v>
      </c>
      <c r="D16" s="2" t="s">
        <v>50</v>
      </c>
      <c r="E16" s="2"/>
      <c r="F16" s="8" t="s">
        <v>23</v>
      </c>
      <c r="G16" s="8" t="s">
        <v>18</v>
      </c>
      <c r="H16" s="8" t="s">
        <v>19</v>
      </c>
      <c r="I16" s="8" t="s">
        <v>20</v>
      </c>
      <c r="J16" s="8" t="s">
        <v>23</v>
      </c>
      <c r="K16" s="8" t="s">
        <v>18</v>
      </c>
      <c r="L16" s="8" t="s">
        <v>19</v>
      </c>
      <c r="M16" s="8" t="s">
        <v>20</v>
      </c>
      <c r="N16" s="2" t="s">
        <v>272</v>
      </c>
      <c r="O16" s="2" t="s">
        <v>273</v>
      </c>
      <c r="P16" s="10" t="s">
        <v>273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 t="str">
        <f>IF(INDEX(rngLoadCombinations,16,1)="","",INDEX(rngLoadCombinations,16,1))</f>
        <v/>
      </c>
      <c r="DB16" s="2"/>
      <c r="DC16" s="2"/>
      <c r="DD16" s="2"/>
      <c r="DE16" s="2"/>
      <c r="DF16" s="2"/>
      <c r="DG16" s="2"/>
      <c r="DH16" s="2"/>
      <c r="DI16" s="2"/>
      <c r="DJ16" s="2"/>
      <c r="DK16" s="2"/>
    </row>
    <row r="17" spans="1:115" x14ac:dyDescent="0.25">
      <c r="A17" s="2" t="s">
        <v>51</v>
      </c>
      <c r="B17" s="2">
        <v>1.8</v>
      </c>
      <c r="C17" s="2" t="str">
        <f>INDEX(rngUnitSettings,MATCH("Stress",INDEX(rngUnitSettings,,1),0),2)</f>
        <v>MPa</v>
      </c>
      <c r="D17" s="2" t="s">
        <v>52</v>
      </c>
      <c r="E17" s="2"/>
      <c r="F17" s="2" t="s">
        <v>311</v>
      </c>
      <c r="G17" s="2">
        <v>300</v>
      </c>
      <c r="H17" s="2" t="str">
        <f>INDEX(rngUnitSettings,MATCH("Length",INDEX(rngUnitSettings,,1),0),2)</f>
        <v>mm</v>
      </c>
      <c r="I17" s="2" t="s">
        <v>312</v>
      </c>
      <c r="J17" s="2" t="s">
        <v>332</v>
      </c>
      <c r="K17" s="2">
        <v>300</v>
      </c>
      <c r="L17" s="2" t="str">
        <f t="shared" ref="L17:L22" si="0">INDEX(rngUnitSettings,MATCH("Length",INDEX(rngUnitSettings,,1),0),2)</f>
        <v>mm</v>
      </c>
      <c r="M17" s="2" t="s">
        <v>333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 t="str">
        <f>IF(INDEX(rngLoadCombinations,17,1)="","",INDEX(rngLoadCombinations,17,1))</f>
        <v/>
      </c>
      <c r="DB17" s="2"/>
      <c r="DC17" s="2"/>
      <c r="DD17" s="2"/>
      <c r="DE17" s="2"/>
      <c r="DF17" s="2"/>
      <c r="DG17" s="2"/>
      <c r="DH17" s="2"/>
      <c r="DI17" s="2"/>
      <c r="DJ17" s="2"/>
      <c r="DK17" s="2"/>
    </row>
    <row r="18" spans="1:115" x14ac:dyDescent="0.25">
      <c r="A18" s="2" t="s">
        <v>53</v>
      </c>
      <c r="B18" s="2">
        <v>32500</v>
      </c>
      <c r="C18" s="2" t="str">
        <f>INDEX(rngUnitSettings,MATCH("Stress",INDEX(rngUnitSettings,,1),0),2)</f>
        <v>MPa</v>
      </c>
      <c r="D18" s="2" t="s">
        <v>54</v>
      </c>
      <c r="E18" s="2"/>
      <c r="F18" s="2" t="s">
        <v>313</v>
      </c>
      <c r="G18" s="2">
        <v>40</v>
      </c>
      <c r="H18" s="2" t="str">
        <f>INDEX(rngUnitSettings,MATCH("Length",INDEX(rngUnitSettings,,1),0),2)</f>
        <v>mm</v>
      </c>
      <c r="I18" s="2" t="s">
        <v>314</v>
      </c>
      <c r="J18" s="2" t="s">
        <v>334</v>
      </c>
      <c r="K18" s="2">
        <v>200</v>
      </c>
      <c r="L18" s="2" t="str">
        <f t="shared" si="0"/>
        <v>mm</v>
      </c>
      <c r="M18" s="2" t="s">
        <v>335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 t="str">
        <f>IF(INDEX(rngLoadCombinations,18,1)="","",INDEX(rngLoadCombinations,18,1))</f>
        <v/>
      </c>
      <c r="DB18" s="2"/>
      <c r="DC18" s="2"/>
      <c r="DD18" s="2"/>
      <c r="DE18" s="2"/>
      <c r="DF18" s="2"/>
      <c r="DG18" s="2"/>
      <c r="DH18" s="2"/>
      <c r="DI18" s="2"/>
      <c r="DJ18" s="2"/>
      <c r="DK18" s="2"/>
    </row>
    <row r="19" spans="1:115" x14ac:dyDescent="0.25">
      <c r="A19" s="2" t="s">
        <v>55</v>
      </c>
      <c r="B19" s="2" t="s">
        <v>56</v>
      </c>
      <c r="C19" s="2"/>
      <c r="D19" s="2" t="s">
        <v>57</v>
      </c>
      <c r="E19" s="2"/>
      <c r="F19" s="2" t="s">
        <v>315</v>
      </c>
      <c r="G19" s="2">
        <v>8</v>
      </c>
      <c r="H19" s="2" t="s">
        <v>35</v>
      </c>
      <c r="I19" s="2" t="s">
        <v>316</v>
      </c>
      <c r="J19" s="2" t="s">
        <v>336</v>
      </c>
      <c r="K19" s="2">
        <v>0</v>
      </c>
      <c r="L19" s="2" t="str">
        <f t="shared" si="0"/>
        <v>mm</v>
      </c>
      <c r="M19" s="2" t="s">
        <v>337</v>
      </c>
      <c r="N19" s="2"/>
      <c r="O19" s="2"/>
      <c r="P19" s="16" t="s">
        <v>276</v>
      </c>
      <c r="Q19" s="17"/>
      <c r="R19" s="17"/>
      <c r="S19" s="17"/>
      <c r="T19" s="17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 t="str">
        <f>IF(INDEX(rngLoadCombinations,19,1)="","",INDEX(rngLoadCombinations,19,1))</f>
        <v/>
      </c>
      <c r="DB19" s="2"/>
      <c r="DC19" s="2"/>
      <c r="DD19" s="2"/>
      <c r="DE19" s="2"/>
      <c r="DF19" s="2"/>
      <c r="DG19" s="2"/>
      <c r="DH19" s="2"/>
      <c r="DI19" s="2"/>
      <c r="DJ19" s="2"/>
      <c r="DK19" s="2"/>
    </row>
    <row r="20" spans="1:115" x14ac:dyDescent="0.25">
      <c r="A20" s="2" t="s">
        <v>58</v>
      </c>
      <c r="B20" s="2">
        <v>-3.5000000000000001E-3</v>
      </c>
      <c r="C20" s="2"/>
      <c r="D20" s="2" t="s">
        <v>59</v>
      </c>
      <c r="E20" s="2"/>
      <c r="F20" s="2" t="s">
        <v>317</v>
      </c>
      <c r="G20" s="2">
        <v>20</v>
      </c>
      <c r="H20" s="2" t="str">
        <f>INDEX(rngUnitSettings,MATCH("Length",INDEX(rngUnitSettings,,1),0),2)</f>
        <v>mm</v>
      </c>
      <c r="I20" s="2" t="s">
        <v>318</v>
      </c>
      <c r="J20" s="2" t="s">
        <v>338</v>
      </c>
      <c r="K20" s="2">
        <v>0</v>
      </c>
      <c r="L20" s="2" t="str">
        <f t="shared" si="0"/>
        <v>mm</v>
      </c>
      <c r="M20" s="2" t="s">
        <v>339</v>
      </c>
      <c r="N20" s="2"/>
      <c r="O20" s="2"/>
      <c r="P20" s="8" t="s">
        <v>23</v>
      </c>
      <c r="Q20" s="8" t="s">
        <v>277</v>
      </c>
      <c r="R20" s="8" t="s">
        <v>278</v>
      </c>
      <c r="S20" s="8" t="s">
        <v>19</v>
      </c>
      <c r="T20" s="8" t="s">
        <v>20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 t="str">
        <f>IF(INDEX(rngLoadCombinations,20,1)="","",INDEX(rngLoadCombinations,20,1))</f>
        <v/>
      </c>
      <c r="DB20" s="2"/>
      <c r="DC20" s="2"/>
      <c r="DD20" s="2"/>
      <c r="DE20" s="2"/>
      <c r="DF20" s="2"/>
      <c r="DG20" s="2"/>
      <c r="DH20" s="2"/>
      <c r="DI20" s="2"/>
      <c r="DJ20" s="2"/>
      <c r="DK20" s="2"/>
    </row>
    <row r="21" spans="1:115" x14ac:dyDescent="0.25">
      <c r="A21" s="2" t="s">
        <v>60</v>
      </c>
      <c r="B21" s="2">
        <v>1.4999999999999999E-4</v>
      </c>
      <c r="C21" s="2"/>
      <c r="D21" s="2" t="s">
        <v>61</v>
      </c>
      <c r="E21" s="2"/>
      <c r="F21" s="2" t="s">
        <v>319</v>
      </c>
      <c r="G21" s="2"/>
      <c r="H21" s="2"/>
      <c r="I21" s="2" t="s">
        <v>320</v>
      </c>
      <c r="J21" s="2" t="s">
        <v>340</v>
      </c>
      <c r="K21" s="2">
        <v>0</v>
      </c>
      <c r="L21" s="2" t="str">
        <f t="shared" si="0"/>
        <v>mm</v>
      </c>
      <c r="M21" s="2" t="s">
        <v>341</v>
      </c>
      <c r="N21" s="2"/>
      <c r="O21" s="2"/>
      <c r="P21" s="2" t="s">
        <v>279</v>
      </c>
      <c r="Q21" s="2" t="s">
        <v>92</v>
      </c>
      <c r="R21" s="2" t="s">
        <v>92</v>
      </c>
      <c r="S21" s="2" t="s">
        <v>280</v>
      </c>
      <c r="T21" s="2" t="s">
        <v>281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 t="str">
        <f>IF(INDEX(rngLoadCombinations,21,1)="","",INDEX(rngLoadCombinations,21,1))</f>
        <v/>
      </c>
      <c r="DB21" s="2"/>
      <c r="DC21" s="2"/>
      <c r="DD21" s="2"/>
      <c r="DE21" s="2"/>
      <c r="DF21" s="2"/>
      <c r="DG21" s="2"/>
      <c r="DH21" s="2"/>
      <c r="DI21" s="2"/>
      <c r="DJ21" s="2"/>
      <c r="DK21" s="2"/>
    </row>
    <row r="22" spans="1:115" x14ac:dyDescent="0.25">
      <c r="A22" s="2"/>
      <c r="B22" s="2"/>
      <c r="C22" s="2"/>
      <c r="D22" s="2"/>
      <c r="E22" s="2"/>
      <c r="F22" s="2" t="s">
        <v>321</v>
      </c>
      <c r="G22" s="2"/>
      <c r="H22" s="2" t="str">
        <f>INDEX(rngUnitSettings,MATCH("Length",INDEX(rngUnitSettings,,1),0),2)</f>
        <v>mm</v>
      </c>
      <c r="I22" s="2" t="s">
        <v>322</v>
      </c>
      <c r="J22" s="2" t="s">
        <v>342</v>
      </c>
      <c r="K22" s="2">
        <v>0</v>
      </c>
      <c r="L22" s="2" t="str">
        <f t="shared" si="0"/>
        <v>mm</v>
      </c>
      <c r="M22" s="2" t="s">
        <v>343</v>
      </c>
      <c r="N22" s="2"/>
      <c r="O22" s="2"/>
      <c r="P22" s="2" t="s">
        <v>282</v>
      </c>
      <c r="Q22" s="2" t="s">
        <v>283</v>
      </c>
      <c r="R22" s="2" t="s">
        <v>283</v>
      </c>
      <c r="S22" s="2"/>
      <c r="T22" s="2" t="s">
        <v>284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</row>
    <row r="23" spans="1:115" x14ac:dyDescent="0.25">
      <c r="A23" s="9" t="s">
        <v>62</v>
      </c>
      <c r="B23" s="9"/>
      <c r="C23" s="9"/>
      <c r="D23" s="9"/>
      <c r="E23" s="2"/>
      <c r="F23" s="2" t="s">
        <v>323</v>
      </c>
      <c r="G23" s="2"/>
      <c r="H23" s="2" t="str">
        <f>INDEX(rngUnitSettings,MATCH("Length",INDEX(rngUnitSettings,,1),0),2)</f>
        <v>mm</v>
      </c>
      <c r="I23" s="2" t="s">
        <v>324</v>
      </c>
      <c r="J23" s="2"/>
      <c r="K23" s="2"/>
      <c r="L23" s="2"/>
      <c r="M23" s="2"/>
      <c r="N23" s="2"/>
      <c r="O23" s="2"/>
      <c r="P23" s="2" t="s">
        <v>285</v>
      </c>
      <c r="Q23" s="2">
        <v>60</v>
      </c>
      <c r="R23" s="2">
        <v>100</v>
      </c>
      <c r="S23" s="2" t="s">
        <v>32</v>
      </c>
      <c r="T23" s="2" t="s">
        <v>286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</row>
    <row r="24" spans="1:115" x14ac:dyDescent="0.25">
      <c r="A24" s="2" t="s">
        <v>63</v>
      </c>
      <c r="B24" s="2" t="s">
        <v>64</v>
      </c>
      <c r="C24" s="2"/>
      <c r="D24" s="2" t="s">
        <v>65</v>
      </c>
      <c r="E24" s="2"/>
      <c r="F24" s="2" t="s">
        <v>325</v>
      </c>
      <c r="G24" s="2" t="s">
        <v>326</v>
      </c>
      <c r="H24" s="2"/>
      <c r="I24" s="2" t="s">
        <v>327</v>
      </c>
      <c r="J24" s="2"/>
      <c r="K24" s="2"/>
      <c r="L24" s="2"/>
      <c r="M24" s="2"/>
      <c r="N24" s="2"/>
      <c r="O24" s="2"/>
      <c r="P24" s="2" t="s">
        <v>287</v>
      </c>
      <c r="Q24" s="2" t="s">
        <v>92</v>
      </c>
      <c r="R24" s="2" t="s">
        <v>288</v>
      </c>
      <c r="S24" s="2" t="s">
        <v>280</v>
      </c>
      <c r="T24" s="2" t="s">
        <v>289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</row>
    <row r="25" spans="1:115" x14ac:dyDescent="0.25">
      <c r="A25" s="2" t="s">
        <v>66</v>
      </c>
      <c r="B25" s="2">
        <v>350</v>
      </c>
      <c r="C25" s="2" t="str">
        <f>INDEX(rngUnitSettings,MATCH("Stress",INDEX(rngUnitSettings,,1),0),2)</f>
        <v>MPa</v>
      </c>
      <c r="D25" s="2" t="s">
        <v>67</v>
      </c>
      <c r="E25" s="2"/>
      <c r="F25" s="2" t="s">
        <v>328</v>
      </c>
      <c r="G25" s="2" t="s">
        <v>326</v>
      </c>
      <c r="H25" s="2"/>
      <c r="I25" s="2" t="s">
        <v>329</v>
      </c>
      <c r="J25" s="2"/>
      <c r="K25" s="2"/>
      <c r="L25" s="2"/>
      <c r="M25" s="2"/>
      <c r="N25" s="2"/>
      <c r="O25" s="2"/>
      <c r="P25" s="2" t="s">
        <v>290</v>
      </c>
      <c r="Q25" s="2">
        <v>1.35</v>
      </c>
      <c r="R25" s="2">
        <v>1.75</v>
      </c>
      <c r="S25" s="2" t="s">
        <v>291</v>
      </c>
      <c r="T25" s="2" t="s">
        <v>292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</row>
    <row r="26" spans="1:115" x14ac:dyDescent="0.25">
      <c r="A26" s="2" t="s">
        <v>68</v>
      </c>
      <c r="B26" s="2">
        <v>350</v>
      </c>
      <c r="C26" s="2" t="str">
        <f>INDEX(rngUnitSettings,MATCH("Stress",INDEX(rngUnitSettings,,1),0),2)</f>
        <v>MPa</v>
      </c>
      <c r="D26" s="2" t="s">
        <v>69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 t="s">
        <v>293</v>
      </c>
      <c r="Q26" s="2" t="s">
        <v>288</v>
      </c>
      <c r="R26" s="2">
        <v>0.85</v>
      </c>
      <c r="S26" s="2" t="s">
        <v>291</v>
      </c>
      <c r="T26" s="2" t="s">
        <v>294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</row>
    <row r="27" spans="1:115" x14ac:dyDescent="0.25">
      <c r="A27" s="2" t="s">
        <v>70</v>
      </c>
      <c r="B27" s="2">
        <v>200000</v>
      </c>
      <c r="C27" s="2" t="str">
        <f>INDEX(rngUnitSettings,MATCH("Stress",INDEX(rngUnitSettings,,1),0),2)</f>
        <v>MPa</v>
      </c>
      <c r="D27" s="2" t="s">
        <v>71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 t="s">
        <v>295</v>
      </c>
      <c r="Q27" s="2">
        <v>25</v>
      </c>
      <c r="R27" s="2">
        <v>25</v>
      </c>
      <c r="S27" s="2" t="s">
        <v>32</v>
      </c>
      <c r="T27" s="2" t="s">
        <v>296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</row>
    <row r="28" spans="1:115" x14ac:dyDescent="0.25">
      <c r="A28" s="2" t="s">
        <v>72</v>
      </c>
      <c r="B28" s="2">
        <v>2.5000000000000001E-2</v>
      </c>
      <c r="C28" s="2"/>
      <c r="D28" s="2" t="s">
        <v>73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 t="s">
        <v>297</v>
      </c>
      <c r="Q28" s="2">
        <v>15</v>
      </c>
      <c r="R28" s="2">
        <v>15</v>
      </c>
      <c r="S28" s="2" t="s">
        <v>32</v>
      </c>
      <c r="T28" s="2" t="s">
        <v>298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</row>
    <row r="29" spans="1:115" x14ac:dyDescent="0.25">
      <c r="A29" s="2"/>
      <c r="B29" s="2"/>
      <c r="C29" s="2"/>
      <c r="D29" s="2"/>
      <c r="E29" s="2"/>
      <c r="F29" s="16" t="s">
        <v>344</v>
      </c>
      <c r="G29" s="17"/>
      <c r="H29" s="17"/>
      <c r="I29" s="17"/>
      <c r="J29" s="17"/>
      <c r="K29" s="17"/>
      <c r="L29" s="17"/>
      <c r="M29" s="17"/>
      <c r="N29" s="17"/>
      <c r="O29" s="2"/>
      <c r="P29" s="2" t="s">
        <v>299</v>
      </c>
      <c r="Q29" s="2" t="s">
        <v>288</v>
      </c>
      <c r="R29" s="2" t="s">
        <v>300</v>
      </c>
      <c r="S29" s="2"/>
      <c r="T29" s="2" t="s">
        <v>301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</row>
    <row r="30" spans="1:115" x14ac:dyDescent="0.25">
      <c r="A30" s="9" t="s">
        <v>74</v>
      </c>
      <c r="B30" s="9"/>
      <c r="C30" s="9"/>
      <c r="D30" s="9"/>
      <c r="E30" s="2"/>
      <c r="F30" s="9" t="s">
        <v>345</v>
      </c>
      <c r="G30" s="2"/>
      <c r="H30" s="2"/>
      <c r="I30" s="2"/>
      <c r="J30" s="2"/>
      <c r="K30" s="2"/>
      <c r="L30" s="2"/>
      <c r="M30" s="2"/>
      <c r="N30" s="2"/>
      <c r="O30" s="2"/>
      <c r="P30" s="2" t="s">
        <v>302</v>
      </c>
      <c r="Q30" s="2" t="s">
        <v>288</v>
      </c>
      <c r="R30" s="2" t="s">
        <v>303</v>
      </c>
      <c r="S30" s="2"/>
      <c r="T30" s="2" t="s">
        <v>304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</row>
    <row r="31" spans="1:115" x14ac:dyDescent="0.25">
      <c r="A31" s="2" t="s">
        <v>75</v>
      </c>
      <c r="B31" s="2" t="s">
        <v>76</v>
      </c>
      <c r="C31" s="2"/>
      <c r="D31" s="2" t="s">
        <v>77</v>
      </c>
      <c r="E31" s="2"/>
      <c r="F31" s="8" t="s">
        <v>346</v>
      </c>
      <c r="G31" s="8" t="s">
        <v>347</v>
      </c>
      <c r="H31" s="8" t="s">
        <v>348</v>
      </c>
      <c r="I31" s="8" t="s">
        <v>349</v>
      </c>
      <c r="J31" s="2" t="str">
        <f>INDEX(rngUnitSettings,MATCH("Length",INDEX(rngUnitSettings,,1),0),2)</f>
        <v>mm</v>
      </c>
      <c r="K31" s="2"/>
      <c r="L31" s="2"/>
      <c r="M31" s="2"/>
      <c r="N31" s="2"/>
      <c r="O31" s="2"/>
      <c r="P31" s="2" t="s">
        <v>305</v>
      </c>
      <c r="Q31" s="2" t="s">
        <v>306</v>
      </c>
      <c r="R31" s="2" t="s">
        <v>306</v>
      </c>
      <c r="S31" s="2" t="s">
        <v>222</v>
      </c>
      <c r="T31" s="2" t="s">
        <v>307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</row>
    <row r="32" spans="1:115" x14ac:dyDescent="0.25">
      <c r="A32" s="2" t="s">
        <v>78</v>
      </c>
      <c r="B32" s="2" t="s">
        <v>79</v>
      </c>
      <c r="C32" s="2"/>
      <c r="D32" s="2" t="s">
        <v>80</v>
      </c>
      <c r="E32" s="2"/>
      <c r="F32" s="2">
        <v>550</v>
      </c>
      <c r="G32" s="2">
        <v>250</v>
      </c>
      <c r="H32" s="2">
        <v>250</v>
      </c>
      <c r="I32" s="2">
        <v>600</v>
      </c>
      <c r="J32" s="2"/>
      <c r="K32" s="2"/>
      <c r="L32" s="2"/>
      <c r="M32" s="2"/>
      <c r="N32" s="2"/>
      <c r="O32" s="2"/>
      <c r="P32" s="2" t="s">
        <v>308</v>
      </c>
      <c r="Q32" s="2" t="s">
        <v>288</v>
      </c>
      <c r="R32" s="11">
        <v>140140140</v>
      </c>
      <c r="S32" s="2" t="s">
        <v>222</v>
      </c>
      <c r="T32" s="2" t="s">
        <v>309</v>
      </c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</row>
    <row r="33" spans="1:115" x14ac:dyDescent="0.25">
      <c r="A33" s="2" t="s">
        <v>81</v>
      </c>
      <c r="B33" s="2">
        <v>40</v>
      </c>
      <c r="C33" s="2" t="s">
        <v>35</v>
      </c>
      <c r="D33" s="2" t="s">
        <v>82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</row>
    <row r="34" spans="1:115" x14ac:dyDescent="0.25">
      <c r="A34" s="2" t="s">
        <v>83</v>
      </c>
      <c r="B34" s="2">
        <v>1</v>
      </c>
      <c r="C34" s="2" t="s">
        <v>35</v>
      </c>
      <c r="D34" s="2" t="s">
        <v>84</v>
      </c>
      <c r="E34" s="2"/>
      <c r="F34" s="9" t="s">
        <v>350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</row>
    <row r="35" spans="1:115" x14ac:dyDescent="0.25">
      <c r="A35" s="2" t="s">
        <v>85</v>
      </c>
      <c r="B35" s="2">
        <v>1</v>
      </c>
      <c r="C35" s="2" t="str">
        <f>INDEX(rngUnitSettings,MATCH("Force",INDEX(rngUnitSettings,,1),0),2)</f>
        <v>tf</v>
      </c>
      <c r="D35" s="2" t="s">
        <v>86</v>
      </c>
      <c r="E35" s="2"/>
      <c r="F35" s="8" t="s">
        <v>351</v>
      </c>
      <c r="G35" s="8" t="s">
        <v>352</v>
      </c>
      <c r="H35" s="8" t="s">
        <v>353</v>
      </c>
      <c r="I35" s="8" t="s">
        <v>354</v>
      </c>
      <c r="J35" s="8" t="s">
        <v>355</v>
      </c>
      <c r="K35" s="8" t="s">
        <v>356</v>
      </c>
      <c r="L35" s="8" t="s">
        <v>19</v>
      </c>
      <c r="M35" s="8" t="s">
        <v>20</v>
      </c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</row>
    <row r="36" spans="1:115" x14ac:dyDescent="0.25">
      <c r="A36" s="2" t="s">
        <v>87</v>
      </c>
      <c r="B36" s="2">
        <v>1000</v>
      </c>
      <c r="C36" s="2" t="str">
        <f>INDEX(rngUnitSettings,MATCH("Moment",INDEX(rngUnitSettings,,1),0),2)</f>
        <v>tf*m</v>
      </c>
      <c r="D36" s="2" t="s">
        <v>88</v>
      </c>
      <c r="E36" s="2"/>
      <c r="F36" s="2" t="s">
        <v>357</v>
      </c>
      <c r="G36" s="2">
        <v>40</v>
      </c>
      <c r="H36" s="2">
        <v>32</v>
      </c>
      <c r="I36" s="2">
        <v>5</v>
      </c>
      <c r="J36" s="2">
        <v>80</v>
      </c>
      <c r="K36" s="2">
        <v>80</v>
      </c>
      <c r="L36" s="2" t="str">
        <f t="shared" ref="L36:L43" si="1">INDEX(rngUnitSettings,MATCH("Length",INDEX(rngUnitSettings,,1),0),2)</f>
        <v>mm</v>
      </c>
      <c r="M36" s="2" t="s">
        <v>358</v>
      </c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</row>
    <row r="37" spans="1:115" x14ac:dyDescent="0.25">
      <c r="A37" s="2" t="s">
        <v>89</v>
      </c>
      <c r="B37" s="2">
        <v>1000</v>
      </c>
      <c r="C37" s="2" t="str">
        <f>INDEX(rngUnitSettings,MATCH("Moment",INDEX(rngUnitSettings,,1),0),2)</f>
        <v>tf*m</v>
      </c>
      <c r="D37" s="2" t="s">
        <v>90</v>
      </c>
      <c r="E37" s="2"/>
      <c r="F37" s="2" t="s">
        <v>359</v>
      </c>
      <c r="G37" s="2">
        <v>40</v>
      </c>
      <c r="H37" s="2">
        <v>32</v>
      </c>
      <c r="I37" s="2">
        <v>5</v>
      </c>
      <c r="J37" s="2">
        <v>80</v>
      </c>
      <c r="K37" s="2">
        <v>80</v>
      </c>
      <c r="L37" s="2" t="str">
        <f t="shared" si="1"/>
        <v>mm</v>
      </c>
      <c r="M37" s="2" t="s">
        <v>360</v>
      </c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</row>
    <row r="38" spans="1:115" x14ac:dyDescent="0.25">
      <c r="A38" s="2" t="s">
        <v>91</v>
      </c>
      <c r="B38" s="2" t="s">
        <v>92</v>
      </c>
      <c r="C38" s="2"/>
      <c r="D38" s="2" t="s">
        <v>93</v>
      </c>
      <c r="E38" s="2"/>
      <c r="F38" s="2" t="s">
        <v>361</v>
      </c>
      <c r="G38" s="2">
        <v>40</v>
      </c>
      <c r="H38" s="2">
        <v>32</v>
      </c>
      <c r="I38" s="2">
        <v>2</v>
      </c>
      <c r="J38" s="2">
        <v>80</v>
      </c>
      <c r="K38" s="2">
        <v>80</v>
      </c>
      <c r="L38" s="2" t="str">
        <f t="shared" si="1"/>
        <v>mm</v>
      </c>
      <c r="M38" s="2" t="s">
        <v>362</v>
      </c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</row>
    <row r="39" spans="1:115" x14ac:dyDescent="0.25">
      <c r="A39" s="2" t="s">
        <v>94</v>
      </c>
      <c r="B39" s="2">
        <v>1</v>
      </c>
      <c r="C39" s="2"/>
      <c r="D39" s="2" t="s">
        <v>95</v>
      </c>
      <c r="E39" s="2"/>
      <c r="F39" s="2" t="s">
        <v>363</v>
      </c>
      <c r="G39" s="2">
        <v>40</v>
      </c>
      <c r="H39" s="2">
        <v>32</v>
      </c>
      <c r="I39" s="2">
        <v>2</v>
      </c>
      <c r="J39" s="2">
        <v>80</v>
      </c>
      <c r="K39" s="2">
        <v>80</v>
      </c>
      <c r="L39" s="2" t="str">
        <f t="shared" si="1"/>
        <v>mm</v>
      </c>
      <c r="M39" s="2" t="s">
        <v>364</v>
      </c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</row>
    <row r="40" spans="1:115" x14ac:dyDescent="0.25">
      <c r="A40" s="2" t="s">
        <v>96</v>
      </c>
      <c r="B40" s="2">
        <v>3.125E-2</v>
      </c>
      <c r="C40" s="2"/>
      <c r="D40" s="2" t="s">
        <v>97</v>
      </c>
      <c r="E40" s="2"/>
      <c r="F40" s="2" t="s">
        <v>365</v>
      </c>
      <c r="G40" s="2">
        <v>40</v>
      </c>
      <c r="H40" s="2">
        <v>32</v>
      </c>
      <c r="I40" s="2">
        <v>2</v>
      </c>
      <c r="J40" s="2">
        <v>80</v>
      </c>
      <c r="K40" s="2">
        <v>80</v>
      </c>
      <c r="L40" s="2" t="str">
        <f t="shared" si="1"/>
        <v>mm</v>
      </c>
      <c r="M40" s="2" t="s">
        <v>366</v>
      </c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</row>
    <row r="41" spans="1:115" x14ac:dyDescent="0.25">
      <c r="A41" s="2" t="s">
        <v>98</v>
      </c>
      <c r="B41" s="2">
        <v>5.0000000000000001E-4</v>
      </c>
      <c r="C41" s="2"/>
      <c r="D41" s="2" t="s">
        <v>99</v>
      </c>
      <c r="E41" s="2"/>
      <c r="F41" s="2" t="s">
        <v>367</v>
      </c>
      <c r="G41" s="2">
        <v>40</v>
      </c>
      <c r="H41" s="2">
        <v>32</v>
      </c>
      <c r="I41" s="2">
        <v>2</v>
      </c>
      <c r="J41" s="2">
        <v>80</v>
      </c>
      <c r="K41" s="2">
        <v>80</v>
      </c>
      <c r="L41" s="2" t="str">
        <f t="shared" si="1"/>
        <v>mm</v>
      </c>
      <c r="M41" s="2" t="s">
        <v>368</v>
      </c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</row>
    <row r="42" spans="1:115" x14ac:dyDescent="0.25">
      <c r="A42" s="2" t="s">
        <v>100</v>
      </c>
      <c r="B42" s="2">
        <v>1.0000000000000001E-5</v>
      </c>
      <c r="C42" s="2" t="str">
        <f>INDEX(rngUnitSettings,MATCH("Curvature",INDEX(rngUnitSettings,,1),0),2)</f>
        <v>1/mm</v>
      </c>
      <c r="D42" s="2" t="s">
        <v>101</v>
      </c>
      <c r="E42" s="2"/>
      <c r="F42" s="2" t="s">
        <v>369</v>
      </c>
      <c r="G42" s="2">
        <v>40</v>
      </c>
      <c r="H42" s="2">
        <v>32</v>
      </c>
      <c r="I42" s="2">
        <v>5</v>
      </c>
      <c r="J42" s="2">
        <v>80</v>
      </c>
      <c r="K42" s="2">
        <v>80</v>
      </c>
      <c r="L42" s="2" t="str">
        <f t="shared" si="1"/>
        <v>mm</v>
      </c>
      <c r="M42" s="2" t="s">
        <v>370</v>
      </c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</row>
    <row r="43" spans="1:115" x14ac:dyDescent="0.25">
      <c r="A43" s="2" t="s">
        <v>102</v>
      </c>
      <c r="B43" s="2">
        <v>2</v>
      </c>
      <c r="C43" s="2" t="s">
        <v>35</v>
      </c>
      <c r="D43" s="2" t="s">
        <v>103</v>
      </c>
      <c r="E43" s="2"/>
      <c r="F43" s="2" t="s">
        <v>371</v>
      </c>
      <c r="G43" s="2">
        <v>40</v>
      </c>
      <c r="H43" s="2">
        <v>32</v>
      </c>
      <c r="I43" s="2">
        <v>5</v>
      </c>
      <c r="J43" s="2">
        <v>80</v>
      </c>
      <c r="K43" s="2">
        <v>80</v>
      </c>
      <c r="L43" s="2" t="str">
        <f t="shared" si="1"/>
        <v>mm</v>
      </c>
      <c r="M43" s="2" t="s">
        <v>372</v>
      </c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</row>
    <row r="44" spans="1:115" x14ac:dyDescent="0.25">
      <c r="A44" s="2" t="s">
        <v>104</v>
      </c>
      <c r="B44" s="2">
        <v>9.9999999999999998E-13</v>
      </c>
      <c r="C44" s="2"/>
      <c r="D44" s="2" t="s">
        <v>105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</row>
    <row r="45" spans="1:115" x14ac:dyDescent="0.25">
      <c r="A45" s="2"/>
      <c r="B45" s="2"/>
      <c r="C45" s="2"/>
      <c r="D45" s="2"/>
      <c r="E45" s="2"/>
      <c r="F45" s="9" t="s">
        <v>373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</row>
    <row r="46" spans="1:115" x14ac:dyDescent="0.25">
      <c r="A46" s="9" t="s">
        <v>106</v>
      </c>
      <c r="B46" s="9"/>
      <c r="C46" s="9"/>
      <c r="D46" s="9"/>
      <c r="E46" s="2"/>
      <c r="F46" s="8" t="s">
        <v>351</v>
      </c>
      <c r="G46" s="8" t="s">
        <v>374</v>
      </c>
      <c r="H46" s="8" t="s">
        <v>375</v>
      </c>
      <c r="I46" s="8" t="s">
        <v>376</v>
      </c>
      <c r="J46" s="8" t="s">
        <v>377</v>
      </c>
      <c r="K46" s="8" t="s">
        <v>375</v>
      </c>
      <c r="L46" s="8" t="s">
        <v>376</v>
      </c>
      <c r="M46" s="8" t="s">
        <v>19</v>
      </c>
      <c r="N46" s="8" t="s">
        <v>20</v>
      </c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</row>
    <row r="47" spans="1:115" x14ac:dyDescent="0.25">
      <c r="A47" s="2" t="s">
        <v>107</v>
      </c>
      <c r="B47" s="2" t="s">
        <v>108</v>
      </c>
      <c r="C47" s="2"/>
      <c r="D47" s="2" t="s">
        <v>109</v>
      </c>
      <c r="E47" s="2"/>
      <c r="F47" s="2" t="s">
        <v>357</v>
      </c>
      <c r="G47" s="2">
        <v>16</v>
      </c>
      <c r="H47" s="2" t="s">
        <v>330</v>
      </c>
      <c r="I47" s="2" t="s">
        <v>387</v>
      </c>
      <c r="J47" s="2"/>
      <c r="K47" s="2" t="s">
        <v>326</v>
      </c>
      <c r="L47" s="2" t="s">
        <v>378</v>
      </c>
      <c r="M47" s="2" t="str">
        <f t="shared" ref="M47:M54" si="2">INDEX(rngUnitSettings,MATCH("Length",INDEX(rngUnitSettings,,1),0),2)</f>
        <v>mm</v>
      </c>
      <c r="N47" s="2" t="s">
        <v>379</v>
      </c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</row>
    <row r="48" spans="1:115" x14ac:dyDescent="0.25">
      <c r="A48" s="2" t="s">
        <v>110</v>
      </c>
      <c r="B48" s="2" t="s">
        <v>111</v>
      </c>
      <c r="C48" s="2"/>
      <c r="D48" s="2" t="s">
        <v>112</v>
      </c>
      <c r="E48" s="2"/>
      <c r="F48" s="2" t="s">
        <v>359</v>
      </c>
      <c r="G48" s="2"/>
      <c r="H48" s="2" t="s">
        <v>326</v>
      </c>
      <c r="I48" s="2" t="s">
        <v>378</v>
      </c>
      <c r="J48" s="2"/>
      <c r="K48" s="2" t="s">
        <v>326</v>
      </c>
      <c r="L48" s="2" t="s">
        <v>378</v>
      </c>
      <c r="M48" s="2" t="str">
        <f t="shared" si="2"/>
        <v>mm</v>
      </c>
      <c r="N48" s="2" t="s">
        <v>380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</row>
    <row r="49" spans="1:115" x14ac:dyDescent="0.25">
      <c r="A49" s="2" t="s">
        <v>113</v>
      </c>
      <c r="B49" s="2">
        <v>1</v>
      </c>
      <c r="C49" s="2"/>
      <c r="D49" s="2" t="s">
        <v>114</v>
      </c>
      <c r="E49" s="2"/>
      <c r="F49" s="2" t="s">
        <v>361</v>
      </c>
      <c r="G49" s="2"/>
      <c r="H49" s="2" t="s">
        <v>326</v>
      </c>
      <c r="I49" s="2" t="s">
        <v>378</v>
      </c>
      <c r="J49" s="2"/>
      <c r="K49" s="2" t="s">
        <v>326</v>
      </c>
      <c r="L49" s="2" t="s">
        <v>378</v>
      </c>
      <c r="M49" s="2" t="str">
        <f t="shared" si="2"/>
        <v>mm</v>
      </c>
      <c r="N49" s="2" t="s">
        <v>381</v>
      </c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</row>
    <row r="50" spans="1:115" x14ac:dyDescent="0.25">
      <c r="A50" s="2" t="s">
        <v>115</v>
      </c>
      <c r="B50" s="2">
        <v>0.01</v>
      </c>
      <c r="C50" s="2"/>
      <c r="D50" s="2" t="s">
        <v>116</v>
      </c>
      <c r="E50" s="2"/>
      <c r="F50" s="2" t="s">
        <v>363</v>
      </c>
      <c r="G50" s="2"/>
      <c r="H50" s="2" t="s">
        <v>326</v>
      </c>
      <c r="I50" s="2" t="s">
        <v>378</v>
      </c>
      <c r="J50" s="2"/>
      <c r="K50" s="2" t="s">
        <v>326</v>
      </c>
      <c r="L50" s="2" t="s">
        <v>378</v>
      </c>
      <c r="M50" s="2" t="str">
        <f t="shared" si="2"/>
        <v>mm</v>
      </c>
      <c r="N50" s="2" t="s">
        <v>382</v>
      </c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</row>
    <row r="51" spans="1:115" x14ac:dyDescent="0.25">
      <c r="A51" s="2" t="s">
        <v>117</v>
      </c>
      <c r="B51" s="2">
        <v>0</v>
      </c>
      <c r="C51" s="2" t="s">
        <v>35</v>
      </c>
      <c r="D51" s="2" t="s">
        <v>118</v>
      </c>
      <c r="E51" s="2"/>
      <c r="F51" s="2" t="s">
        <v>365</v>
      </c>
      <c r="G51" s="2"/>
      <c r="H51" s="2" t="s">
        <v>326</v>
      </c>
      <c r="I51" s="2" t="s">
        <v>378</v>
      </c>
      <c r="J51" s="2"/>
      <c r="K51" s="2" t="s">
        <v>326</v>
      </c>
      <c r="L51" s="2" t="s">
        <v>378</v>
      </c>
      <c r="M51" s="2" t="str">
        <f t="shared" si="2"/>
        <v>mm</v>
      </c>
      <c r="N51" s="2" t="s">
        <v>383</v>
      </c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</row>
    <row r="52" spans="1:115" x14ac:dyDescent="0.25">
      <c r="A52" s="2" t="s">
        <v>119</v>
      </c>
      <c r="B52" s="2">
        <v>1</v>
      </c>
      <c r="C52" s="2" t="s">
        <v>35</v>
      </c>
      <c r="D52" s="2" t="s">
        <v>120</v>
      </c>
      <c r="E52" s="2"/>
      <c r="F52" s="2" t="s">
        <v>367</v>
      </c>
      <c r="G52" s="2"/>
      <c r="H52" s="2" t="s">
        <v>326</v>
      </c>
      <c r="I52" s="2" t="s">
        <v>378</v>
      </c>
      <c r="J52" s="2"/>
      <c r="K52" s="2" t="s">
        <v>326</v>
      </c>
      <c r="L52" s="2" t="s">
        <v>378</v>
      </c>
      <c r="M52" s="2" t="str">
        <f t="shared" si="2"/>
        <v>mm</v>
      </c>
      <c r="N52" s="2" t="s">
        <v>384</v>
      </c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</row>
    <row r="53" spans="1:115" x14ac:dyDescent="0.25">
      <c r="A53" s="2" t="s">
        <v>121</v>
      </c>
      <c r="B53" s="2">
        <v>1.0000000000000001E-5</v>
      </c>
      <c r="C53" s="2"/>
      <c r="D53" s="2" t="s">
        <v>122</v>
      </c>
      <c r="E53" s="2"/>
      <c r="F53" s="2" t="s">
        <v>369</v>
      </c>
      <c r="G53" s="2"/>
      <c r="H53" s="2" t="s">
        <v>326</v>
      </c>
      <c r="I53" s="2" t="s">
        <v>378</v>
      </c>
      <c r="J53" s="2"/>
      <c r="K53" s="2" t="s">
        <v>326</v>
      </c>
      <c r="L53" s="2" t="s">
        <v>378</v>
      </c>
      <c r="M53" s="2" t="str">
        <f t="shared" si="2"/>
        <v>mm</v>
      </c>
      <c r="N53" s="2" t="s">
        <v>385</v>
      </c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</row>
    <row r="54" spans="1:115" x14ac:dyDescent="0.25">
      <c r="A54" s="2" t="s">
        <v>123</v>
      </c>
      <c r="B54" s="2">
        <v>64</v>
      </c>
      <c r="C54" s="2"/>
      <c r="D54" s="2" t="s">
        <v>124</v>
      </c>
      <c r="E54" s="2"/>
      <c r="F54" s="2" t="s">
        <v>371</v>
      </c>
      <c r="G54" s="2"/>
      <c r="H54" s="2" t="s">
        <v>326</v>
      </c>
      <c r="I54" s="2" t="s">
        <v>378</v>
      </c>
      <c r="J54" s="2"/>
      <c r="K54" s="2" t="s">
        <v>326</v>
      </c>
      <c r="L54" s="2" t="s">
        <v>378</v>
      </c>
      <c r="M54" s="2" t="str">
        <f t="shared" si="2"/>
        <v>mm</v>
      </c>
      <c r="N54" s="2" t="s">
        <v>386</v>
      </c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</row>
    <row r="55" spans="1:115" x14ac:dyDescent="0.25">
      <c r="A55" s="2" t="s">
        <v>125</v>
      </c>
      <c r="B55" s="2">
        <v>60</v>
      </c>
      <c r="C55" s="2" t="s">
        <v>35</v>
      </c>
      <c r="D55" s="2" t="s">
        <v>126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</row>
    <row r="56" spans="1:1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</row>
    <row r="57" spans="1:115" x14ac:dyDescent="0.25">
      <c r="A57" s="9" t="s">
        <v>127</v>
      </c>
      <c r="B57" s="9"/>
      <c r="C57" s="9"/>
      <c r="D57" s="9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</row>
    <row r="58" spans="1:115" x14ac:dyDescent="0.25">
      <c r="A58" s="2" t="s">
        <v>128</v>
      </c>
      <c r="B58" s="2" t="s">
        <v>92</v>
      </c>
      <c r="C58" s="2"/>
      <c r="D58" s="2" t="s">
        <v>129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</row>
    <row r="59" spans="1:115" x14ac:dyDescent="0.25">
      <c r="A59" s="2" t="s">
        <v>130</v>
      </c>
      <c r="B59" s="2">
        <v>0.3</v>
      </c>
      <c r="C59" s="2" t="str">
        <f>INDEX(rngUnitSettings,MATCH("Length",INDEX(rngUnitSettings,,1),0),2)</f>
        <v>mm</v>
      </c>
      <c r="D59" s="2" t="s">
        <v>131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</row>
    <row r="60" spans="1:115" x14ac:dyDescent="0.25">
      <c r="A60" s="2" t="s">
        <v>132</v>
      </c>
      <c r="B60" s="2">
        <v>200</v>
      </c>
      <c r="C60" s="2" t="str">
        <f>INDEX(rngUnitSettings,MATCH("Length",INDEX(rngUnitSettings,,1),0),2)</f>
        <v>mm</v>
      </c>
      <c r="D60" s="2" t="s">
        <v>133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</row>
    <row r="61" spans="1:115" x14ac:dyDescent="0.25">
      <c r="A61" s="2" t="s">
        <v>134</v>
      </c>
      <c r="B61" s="2">
        <v>1</v>
      </c>
      <c r="C61" s="2"/>
      <c r="D61" s="2" t="s">
        <v>135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</row>
    <row r="62" spans="1:115" x14ac:dyDescent="0.25">
      <c r="A62" s="2" t="s">
        <v>136</v>
      </c>
      <c r="B62" s="2">
        <v>1</v>
      </c>
      <c r="C62" s="2"/>
      <c r="D62" s="2" t="s">
        <v>137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</row>
    <row r="63" spans="1:1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</row>
    <row r="64" spans="1:115" x14ac:dyDescent="0.25">
      <c r="A64" s="9" t="s">
        <v>138</v>
      </c>
      <c r="B64" s="9"/>
      <c r="C64" s="9"/>
      <c r="D64" s="9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</row>
    <row r="65" spans="1:115" x14ac:dyDescent="0.25">
      <c r="A65" s="2" t="s">
        <v>139</v>
      </c>
      <c r="B65" s="2" t="s">
        <v>140</v>
      </c>
      <c r="C65" s="2"/>
      <c r="D65" s="2" t="s">
        <v>141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</row>
    <row r="66" spans="1:115" x14ac:dyDescent="0.25">
      <c r="A66" s="2" t="s">
        <v>142</v>
      </c>
      <c r="B66" s="2" t="s">
        <v>92</v>
      </c>
      <c r="C66" s="2"/>
      <c r="D66" s="2" t="s">
        <v>143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</row>
    <row r="67" spans="1:115" x14ac:dyDescent="0.25">
      <c r="A67" s="2" t="s">
        <v>144</v>
      </c>
      <c r="B67" s="2" t="s">
        <v>92</v>
      </c>
      <c r="C67" s="2"/>
      <c r="D67" s="2" t="s">
        <v>145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</row>
    <row r="68" spans="1:115" x14ac:dyDescent="0.25">
      <c r="A68" s="2" t="s">
        <v>146</v>
      </c>
      <c r="B68" s="2" t="s">
        <v>92</v>
      </c>
      <c r="C68" s="2"/>
      <c r="D68" s="2" t="s">
        <v>147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</row>
    <row r="69" spans="1:115" x14ac:dyDescent="0.25">
      <c r="A69" s="2" t="s">
        <v>148</v>
      </c>
      <c r="B69" s="2" t="s">
        <v>149</v>
      </c>
      <c r="C69" s="2"/>
      <c r="D69" s="2" t="s">
        <v>150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</row>
    <row r="70" spans="1:115" x14ac:dyDescent="0.25">
      <c r="A70" s="2" t="s">
        <v>151</v>
      </c>
      <c r="B70" s="2" t="s">
        <v>152</v>
      </c>
      <c r="C70" s="2"/>
      <c r="D70" s="2" t="s">
        <v>153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</row>
    <row r="71" spans="1:115" x14ac:dyDescent="0.25">
      <c r="A71" s="2" t="s">
        <v>154</v>
      </c>
      <c r="B71" s="2" t="s">
        <v>155</v>
      </c>
      <c r="C71" s="2"/>
      <c r="D71" s="2" t="s">
        <v>156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</row>
    <row r="72" spans="1:115" x14ac:dyDescent="0.25">
      <c r="A72" s="2" t="s">
        <v>157</v>
      </c>
      <c r="B72" s="2" t="s">
        <v>158</v>
      </c>
      <c r="C72" s="2"/>
      <c r="D72" s="2" t="s">
        <v>159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</row>
    <row r="73" spans="1:115" x14ac:dyDescent="0.25">
      <c r="A73" s="2" t="s">
        <v>160</v>
      </c>
      <c r="B73" s="2" t="s">
        <v>161</v>
      </c>
      <c r="C73" s="2"/>
      <c r="D73" s="2" t="s">
        <v>162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</row>
    <row r="74" spans="1:115" x14ac:dyDescent="0.25">
      <c r="A74" s="2" t="s">
        <v>163</v>
      </c>
      <c r="B74" s="2" t="s">
        <v>164</v>
      </c>
      <c r="C74" s="2"/>
      <c r="D74" s="2" t="s">
        <v>165</v>
      </c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</row>
    <row r="75" spans="1:115" x14ac:dyDescent="0.25">
      <c r="A75" s="2" t="s">
        <v>166</v>
      </c>
      <c r="B75" s="2" t="s">
        <v>167</v>
      </c>
      <c r="C75" s="2"/>
      <c r="D75" s="2" t="s">
        <v>168</v>
      </c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</row>
    <row r="76" spans="1:115" x14ac:dyDescent="0.25">
      <c r="A76" s="2" t="s">
        <v>169</v>
      </c>
      <c r="B76" s="2" t="s">
        <v>170</v>
      </c>
      <c r="C76" s="2"/>
      <c r="D76" s="2" t="s">
        <v>171</v>
      </c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</row>
    <row r="77" spans="1:115" x14ac:dyDescent="0.25">
      <c r="A77" s="2" t="s">
        <v>172</v>
      </c>
      <c r="B77" s="2">
        <v>9</v>
      </c>
      <c r="C77" s="2"/>
      <c r="D77" s="2" t="s">
        <v>173</v>
      </c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</row>
    <row r="78" spans="1:115" x14ac:dyDescent="0.25">
      <c r="A78" s="2" t="s">
        <v>174</v>
      </c>
      <c r="B78" s="2">
        <v>5</v>
      </c>
      <c r="C78" s="2"/>
      <c r="D78" s="2" t="s">
        <v>175</v>
      </c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</row>
    <row r="79" spans="1:115" x14ac:dyDescent="0.25">
      <c r="A79" s="2" t="s">
        <v>176</v>
      </c>
      <c r="B79" s="2">
        <v>1</v>
      </c>
      <c r="C79" s="2"/>
      <c r="D79" s="2" t="s">
        <v>177</v>
      </c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</row>
    <row r="80" spans="1:115" x14ac:dyDescent="0.25">
      <c r="A80" s="2" t="s">
        <v>178</v>
      </c>
      <c r="B80" s="2">
        <v>6</v>
      </c>
      <c r="C80" s="2"/>
      <c r="D80" s="2" t="s">
        <v>179</v>
      </c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</row>
    <row r="81" spans="1:115" x14ac:dyDescent="0.25">
      <c r="A81" s="2" t="s">
        <v>180</v>
      </c>
      <c r="B81" s="2">
        <v>8</v>
      </c>
      <c r="C81" s="2"/>
      <c r="D81" s="2" t="s">
        <v>181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</row>
    <row r="82" spans="1:1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</row>
    <row r="83" spans="1:115" x14ac:dyDescent="0.25">
      <c r="A83" s="9" t="s">
        <v>182</v>
      </c>
      <c r="B83" s="9"/>
      <c r="C83" s="9"/>
      <c r="D83" s="9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</row>
    <row r="84" spans="1:115" x14ac:dyDescent="0.25">
      <c r="A84" s="2" t="s">
        <v>183</v>
      </c>
      <c r="B84" s="2" t="s">
        <v>155</v>
      </c>
      <c r="C84" s="2"/>
      <c r="D84" s="2" t="s">
        <v>184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</row>
    <row r="85" spans="1:115" x14ac:dyDescent="0.25">
      <c r="A85" s="2" t="s">
        <v>185</v>
      </c>
      <c r="B85" s="2" t="s">
        <v>158</v>
      </c>
      <c r="C85" s="2"/>
      <c r="D85" s="2" t="s">
        <v>186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</row>
    <row r="86" spans="1:115" x14ac:dyDescent="0.25">
      <c r="A86" s="2" t="s">
        <v>187</v>
      </c>
      <c r="B86" s="2">
        <v>9.9999999999999995E-7</v>
      </c>
      <c r="C86" s="2" t="str">
        <f>INDEX(rngUnitSettings,MATCH("Area",INDEX(rngUnitSettings,,1),0),2)</f>
        <v>mm2</v>
      </c>
      <c r="D86" s="2" t="s">
        <v>188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</row>
    <row r="87" spans="1:1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</row>
    <row r="88" spans="1:115" x14ac:dyDescent="0.25">
      <c r="A88" s="9" t="s">
        <v>189</v>
      </c>
      <c r="B88" s="9"/>
      <c r="C88" s="9"/>
      <c r="D88" s="9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</row>
    <row r="89" spans="1:115" x14ac:dyDescent="0.25">
      <c r="A89" s="2" t="s">
        <v>190</v>
      </c>
      <c r="B89" s="2" t="s">
        <v>92</v>
      </c>
      <c r="C89" s="2"/>
      <c r="D89" s="2" t="s">
        <v>191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</row>
    <row r="90" spans="1:115" x14ac:dyDescent="0.25">
      <c r="A90" s="2" t="s">
        <v>192</v>
      </c>
      <c r="B90" s="2" t="s">
        <v>92</v>
      </c>
      <c r="C90" s="2"/>
      <c r="D90" s="2" t="s">
        <v>193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</row>
    <row r="91" spans="1:115" x14ac:dyDescent="0.25">
      <c r="A91" s="2" t="s">
        <v>194</v>
      </c>
      <c r="B91" s="2" t="s">
        <v>140</v>
      </c>
      <c r="C91" s="2"/>
      <c r="D91" s="2" t="s">
        <v>195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</row>
    <row r="92" spans="1:115" x14ac:dyDescent="0.25">
      <c r="A92" s="2" t="s">
        <v>196</v>
      </c>
      <c r="B92" s="2" t="s">
        <v>149</v>
      </c>
      <c r="C92" s="2"/>
      <c r="D92" s="2" t="s">
        <v>197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</row>
    <row r="93" spans="1:115" x14ac:dyDescent="0.25">
      <c r="A93" s="2" t="s">
        <v>198</v>
      </c>
      <c r="B93" s="2" t="s">
        <v>92</v>
      </c>
      <c r="C93" s="2"/>
      <c r="D93" s="2" t="s">
        <v>199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</row>
    <row r="94" spans="1:115" x14ac:dyDescent="0.25">
      <c r="A94" s="2" t="s">
        <v>200</v>
      </c>
      <c r="B94" s="2" t="s">
        <v>201</v>
      </c>
      <c r="C94" s="2"/>
      <c r="D94" s="2" t="s">
        <v>202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</row>
    <row r="95" spans="1:115" x14ac:dyDescent="0.25">
      <c r="A95" s="2" t="s">
        <v>203</v>
      </c>
      <c r="B95" s="2">
        <v>100</v>
      </c>
      <c r="C95" s="2" t="str">
        <f>INDEX(rngUnitSettings,MATCH("Length",INDEX(rngUnitSettings,,1),0),2)</f>
        <v>mm</v>
      </c>
      <c r="D95" s="2" t="s">
        <v>204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</row>
    <row r="96" spans="1:115" x14ac:dyDescent="0.25">
      <c r="A96" s="2" t="s">
        <v>205</v>
      </c>
      <c r="B96" s="2">
        <v>1</v>
      </c>
      <c r="C96" s="2" t="s">
        <v>35</v>
      </c>
      <c r="D96" s="2" t="s">
        <v>206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</row>
    <row r="97" spans="1:115" x14ac:dyDescent="0.25">
      <c r="A97" s="2" t="s">
        <v>207</v>
      </c>
      <c r="B97" s="2" t="s">
        <v>92</v>
      </c>
      <c r="C97" s="2"/>
      <c r="D97" s="2" t="s">
        <v>208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</row>
    <row r="98" spans="1:115" x14ac:dyDescent="0.25">
      <c r="A98" s="2" t="s">
        <v>209</v>
      </c>
      <c r="B98" s="2" t="s">
        <v>92</v>
      </c>
      <c r="C98" s="2"/>
      <c r="D98" s="2" t="s">
        <v>210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</row>
    <row r="99" spans="1:115" x14ac:dyDescent="0.25">
      <c r="A99" s="2" t="s">
        <v>211</v>
      </c>
      <c r="B99" s="2" t="s">
        <v>92</v>
      </c>
      <c r="C99" s="2"/>
      <c r="D99" s="2" t="s">
        <v>212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</row>
    <row r="100" spans="1:115" x14ac:dyDescent="0.25">
      <c r="A100" s="2" t="s">
        <v>213</v>
      </c>
      <c r="B100" s="2" t="s">
        <v>92</v>
      </c>
      <c r="C100" s="2"/>
      <c r="D100" s="2" t="s">
        <v>214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</row>
    <row r="101" spans="1:115" x14ac:dyDescent="0.25">
      <c r="A101" s="2" t="s">
        <v>215</v>
      </c>
      <c r="B101" s="2" t="s">
        <v>92</v>
      </c>
      <c r="C101" s="2"/>
      <c r="D101" s="2" t="s">
        <v>216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</row>
    <row r="102" spans="1:115" x14ac:dyDescent="0.25">
      <c r="A102" s="2" t="s">
        <v>217</v>
      </c>
      <c r="B102" s="2" t="s">
        <v>218</v>
      </c>
      <c r="C102" s="2"/>
      <c r="D102" s="2" t="s">
        <v>219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</row>
    <row r="103" spans="1:115" x14ac:dyDescent="0.25">
      <c r="A103" s="2" t="s">
        <v>220</v>
      </c>
      <c r="B103" s="2" t="s">
        <v>221</v>
      </c>
      <c r="C103" s="2" t="s">
        <v>222</v>
      </c>
      <c r="D103" s="2" t="s">
        <v>223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</row>
    <row r="104" spans="1:115" x14ac:dyDescent="0.25">
      <c r="A104" s="2" t="s">
        <v>224</v>
      </c>
      <c r="B104" s="2" t="s">
        <v>225</v>
      </c>
      <c r="C104" s="2" t="s">
        <v>222</v>
      </c>
      <c r="D104" s="2" t="s">
        <v>226</v>
      </c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</row>
    <row r="105" spans="1:115" x14ac:dyDescent="0.25">
      <c r="A105" s="2" t="s">
        <v>227</v>
      </c>
      <c r="B105" s="2" t="s">
        <v>228</v>
      </c>
      <c r="C105" s="2" t="s">
        <v>222</v>
      </c>
      <c r="D105" s="2" t="s">
        <v>229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</row>
    <row r="106" spans="1:115" x14ac:dyDescent="0.25">
      <c r="A106" s="2" t="s">
        <v>230</v>
      </c>
      <c r="B106" s="2" t="s">
        <v>231</v>
      </c>
      <c r="C106" s="2" t="s">
        <v>222</v>
      </c>
      <c r="D106" s="2" t="s">
        <v>232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</row>
    <row r="107" spans="1:1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</row>
    <row r="108" spans="1:1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</row>
    <row r="109" spans="1:1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</row>
    <row r="110" spans="1:1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</row>
    <row r="111" spans="1:1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</row>
    <row r="112" spans="1:1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</row>
    <row r="113" spans="1:1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</row>
    <row r="114" spans="1:1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</row>
    <row r="115" spans="1:1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</row>
    <row r="116" spans="1:1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</row>
    <row r="117" spans="1:1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</row>
    <row r="118" spans="1:1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</row>
    <row r="119" spans="1:1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</row>
    <row r="120" spans="1:1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</row>
    <row r="121" spans="1:1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</row>
    <row r="122" spans="1:1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</row>
    <row r="123" spans="1:1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</row>
    <row r="124" spans="1:1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</row>
    <row r="125" spans="1:1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</row>
    <row r="126" spans="1:1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</row>
    <row r="127" spans="1:1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</row>
    <row r="128" spans="1:1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</row>
    <row r="129" spans="1:1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</row>
    <row r="130" spans="1:1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</row>
    <row r="131" spans="1:1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</row>
    <row r="132" spans="1:1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</row>
    <row r="133" spans="1:1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</row>
    <row r="134" spans="1:1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</row>
    <row r="135" spans="1:1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</row>
    <row r="136" spans="1:1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</row>
    <row r="137" spans="1:1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</row>
    <row r="138" spans="1:1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</row>
    <row r="139" spans="1:1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</row>
    <row r="140" spans="1:1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</row>
    <row r="141" spans="1:1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</row>
    <row r="142" spans="1:1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</row>
    <row r="143" spans="1:1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</row>
    <row r="144" spans="1:1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</row>
    <row r="145" spans="1:1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</row>
    <row r="146" spans="1:1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</row>
    <row r="147" spans="1:1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</row>
    <row r="148" spans="1:1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</row>
    <row r="149" spans="1:1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</row>
    <row r="150" spans="1:1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</row>
    <row r="151" spans="1:1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</row>
    <row r="152" spans="1:1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</row>
    <row r="153" spans="1:1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</row>
    <row r="154" spans="1:1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</row>
    <row r="155" spans="1:1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</row>
    <row r="156" spans="1:1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</row>
    <row r="157" spans="1:1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</row>
    <row r="158" spans="1:1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</row>
    <row r="159" spans="1:1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</row>
    <row r="160" spans="1:1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</row>
    <row r="161" spans="1:1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</row>
    <row r="162" spans="1:1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</row>
    <row r="163" spans="1:1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</row>
    <row r="164" spans="1:1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</row>
    <row r="165" spans="1:1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</row>
    <row r="166" spans="1:1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</row>
    <row r="167" spans="1:1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</row>
    <row r="168" spans="1:1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</row>
    <row r="169" spans="1:1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</row>
    <row r="170" spans="1:1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</row>
    <row r="171" spans="1:1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</row>
    <row r="172" spans="1:1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</row>
    <row r="173" spans="1:1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</row>
    <row r="174" spans="1:1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</row>
    <row r="175" spans="1:1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</row>
    <row r="176" spans="1:1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</row>
    <row r="177" spans="1:1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</row>
    <row r="178" spans="1:1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</row>
    <row r="179" spans="1:1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</row>
    <row r="180" spans="1:1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</row>
    <row r="181" spans="1:1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</row>
    <row r="182" spans="1:1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</row>
    <row r="183" spans="1:1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</row>
    <row r="184" spans="1:1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</row>
    <row r="185" spans="1:1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</row>
    <row r="186" spans="1:1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</row>
    <row r="187" spans="1:1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</row>
    <row r="188" spans="1:1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</row>
    <row r="189" spans="1:1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</row>
    <row r="190" spans="1:1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</row>
    <row r="191" spans="1:1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</row>
    <row r="192" spans="1:1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</row>
    <row r="193" spans="1:1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</row>
    <row r="194" spans="1:1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</row>
    <row r="195" spans="1:1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</row>
    <row r="196" spans="1:1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</row>
    <row r="197" spans="1:1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</row>
    <row r="198" spans="1:1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</row>
    <row r="199" spans="1:1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</row>
    <row r="200" spans="1:1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</row>
    <row r="201" spans="1:1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</row>
    <row r="202" spans="1:1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</row>
    <row r="203" spans="1:1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</row>
    <row r="204" spans="1:1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</row>
    <row r="205" spans="1:1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</row>
    <row r="206" spans="1:1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</row>
    <row r="207" spans="1:1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</row>
    <row r="208" spans="1:1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</row>
    <row r="209" spans="1:1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</row>
    <row r="210" spans="1:1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</row>
    <row r="211" spans="1:1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</row>
    <row r="212" spans="1:1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</row>
    <row r="213" spans="1:1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</row>
    <row r="214" spans="1:1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</row>
    <row r="215" spans="1:1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</row>
    <row r="216" spans="1:1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</row>
    <row r="217" spans="1:1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</row>
    <row r="218" spans="1:1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</row>
    <row r="219" spans="1:1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</row>
    <row r="220" spans="1:1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</row>
    <row r="221" spans="1:1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</row>
    <row r="222" spans="1:1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</row>
    <row r="223" spans="1:1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</row>
    <row r="224" spans="1:1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</row>
    <row r="225" spans="1:1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</row>
    <row r="226" spans="1:1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</row>
    <row r="227" spans="1:1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</row>
    <row r="228" spans="1:1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</row>
    <row r="229" spans="1:1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</row>
    <row r="230" spans="1:1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</row>
    <row r="231" spans="1:1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</row>
    <row r="232" spans="1:1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</row>
    <row r="233" spans="1:1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</row>
    <row r="234" spans="1:1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</row>
    <row r="235" spans="1:1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</row>
    <row r="236" spans="1:1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</row>
    <row r="237" spans="1:1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</row>
    <row r="238" spans="1:1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</row>
    <row r="239" spans="1:1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</row>
    <row r="240" spans="1:1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</row>
    <row r="241" spans="1:1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</row>
    <row r="242" spans="1:1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</row>
    <row r="243" spans="1:1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</row>
    <row r="244" spans="1:1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</row>
    <row r="245" spans="1:1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</row>
    <row r="246" spans="1:1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</row>
    <row r="247" spans="1:1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</row>
    <row r="248" spans="1:1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</row>
    <row r="249" spans="1:1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</row>
    <row r="250" spans="1:1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</row>
    <row r="251" spans="1:1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</row>
    <row r="252" spans="1:1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</row>
    <row r="253" spans="1:1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</row>
    <row r="254" spans="1:1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</row>
    <row r="255" spans="1:1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</row>
    <row r="256" spans="1:1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</row>
    <row r="257" spans="1:1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</row>
    <row r="258" spans="1:1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</row>
    <row r="259" spans="1:1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</row>
    <row r="260" spans="1:1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</row>
  </sheetData>
  <mergeCells count="8">
    <mergeCell ref="F29:N29"/>
    <mergeCell ref="F2:H2"/>
    <mergeCell ref="J2:L2"/>
    <mergeCell ref="N2:Q2"/>
    <mergeCell ref="N12:P12"/>
    <mergeCell ref="P19:T19"/>
    <mergeCell ref="F15:I15"/>
    <mergeCell ref="J15:M15"/>
  </mergeCells>
  <dataValidations count="42">
    <dataValidation type="list" showInputMessage="1" showErrorMessage="1" sqref="O4 Q4" xr:uid="{B905D17C-70EF-40F4-BD77-D9FFC9AD960F}">
      <formula1>$BR$1:$BR$3</formula1>
    </dataValidation>
    <dataValidation type="list" showInputMessage="1" showErrorMessage="1" sqref="O5 Q5" xr:uid="{34AD5B5E-6357-479A-AD2C-3219BEF2BCF6}">
      <formula1>$BS$1:$BS$3</formula1>
    </dataValidation>
    <dataValidation type="list" showInputMessage="1" showErrorMessage="1" sqref="O6 Q6" xr:uid="{76CAD416-81F5-4D6A-ADEB-1417EABDB99D}">
      <formula1>$BT$1:$BT$3</formula1>
    </dataValidation>
    <dataValidation type="list" showInputMessage="1" showErrorMessage="1" sqref="O7 Q7" xr:uid="{E65BB6F7-5A6B-4C39-8D54-70F10ACEBD9E}">
      <formula1>$BU$1:$BU$3</formula1>
    </dataValidation>
    <dataValidation type="list" showInputMessage="1" showErrorMessage="1" sqref="O8 Q8" xr:uid="{25ACA759-0F6A-4008-8F8E-D10D394DC6F8}">
      <formula1>$BV$1:$BV$5</formula1>
    </dataValidation>
    <dataValidation type="list" showInputMessage="1" showErrorMessage="1" sqref="O9 Q9" xr:uid="{F760FCD6-2085-4576-97E2-2B61D611F0FD}">
      <formula1>$BW$1:$BW$2</formula1>
    </dataValidation>
    <dataValidation type="list" showInputMessage="1" showErrorMessage="1" sqref="O14" xr:uid="{DDEE082A-31D5-4583-85B6-965DB1096F5E}">
      <formula1>$BX$1:$BX$2</formula1>
    </dataValidation>
    <dataValidation type="list" showInputMessage="1" showErrorMessage="1" sqref="O15" xr:uid="{31831EA1-62FC-4C3D-AFF7-A24A18D1D159}">
      <formula1>$BY$1:$BY$2</formula1>
    </dataValidation>
    <dataValidation type="list" showInputMessage="1" showErrorMessage="1" sqref="O16" xr:uid="{22503325-D67B-411E-B540-E99582F50B3A}">
      <formula1>$BZ$1:$BZ$2</formula1>
    </dataValidation>
    <dataValidation type="list" allowBlank="1" showInputMessage="1" showErrorMessage="1" sqref="G24 G25" xr:uid="{B1C1D407-904F-40A8-A3D1-EC3D7ADD7C24}">
      <formula1>$BI$1:$BI$2</formula1>
    </dataValidation>
    <dataValidation type="list" allowBlank="1" showInputMessage="1" showErrorMessage="1" sqref="H47 K47 H48 K48 H49 K49 H50 K50 H51 K51 H52 K52 H53 K53 H54 K54" xr:uid="{95EDED18-BBC5-44CF-B3AD-B36D60D05310}">
      <formula1>$DJ$1:$DJ$2</formula1>
    </dataValidation>
    <dataValidation type="list" allowBlank="1" showInputMessage="1" showErrorMessage="1" sqref="I47 L47 I48 L48 I49 L49 I50 L50 I51 L51 I52 L52 I53 L53 I54 L54" xr:uid="{0D46E5B4-CAA5-4DC7-BC3D-4D07601063F1}">
      <formula1>$DK$1:$DK$2</formula1>
    </dataValidation>
    <dataValidation type="list" allowBlank="1" showInputMessage="1" showErrorMessage="1" sqref="B5" xr:uid="{6CBC5A17-1596-4A8A-B053-5A14B8258B5A}">
      <formula1>$CB$1:$CB$2</formula1>
    </dataValidation>
    <dataValidation type="list" allowBlank="1" showInputMessage="1" showErrorMessage="1" sqref="B6" xr:uid="{C1B9201E-070E-4279-BAB3-73DB7A37E1D8}">
      <formula1>$CC$1:$CC$3</formula1>
    </dataValidation>
    <dataValidation type="list" allowBlank="1" showInputMessage="1" showErrorMessage="1" sqref="B19" xr:uid="{E6ACA5FE-A638-4DD1-A3B9-96C7F5A013F8}">
      <formula1>$CD$1:$CD$2</formula1>
    </dataValidation>
    <dataValidation type="list" allowBlank="1" showInputMessage="1" showErrorMessage="1" sqref="B31" xr:uid="{2B0A3A18-CD39-4ACD-B323-947622ACDBCA}">
      <formula1>$CE$1:$CE$2</formula1>
    </dataValidation>
    <dataValidation type="list" allowBlank="1" showInputMessage="1" showErrorMessage="1" sqref="B32" xr:uid="{DD972166-A4C8-4AF5-BE6B-7E74F0F6695A}">
      <formula1>$CF$1:$CF$2</formula1>
    </dataValidation>
    <dataValidation type="list" allowBlank="1" showInputMessage="1" showErrorMessage="1" sqref="B47" xr:uid="{E1972AEF-DBB4-4FDB-84A2-889E27963B38}">
      <formula1>$CG$1:$CG$2</formula1>
    </dataValidation>
    <dataValidation type="list" allowBlank="1" showInputMessage="1" showErrorMessage="1" sqref="B48" xr:uid="{B2B1387C-9159-4F92-A5EE-97FA3F32FB37}">
      <formula1>$CH$1:$CH$3</formula1>
    </dataValidation>
    <dataValidation type="list" allowBlank="1" showInputMessage="1" showErrorMessage="1" sqref="B38" xr:uid="{1DF90C55-B98A-4A09-A88C-654D253EDDD1}">
      <formula1>$CI$1:$CI$2</formula1>
    </dataValidation>
    <dataValidation type="list" allowBlank="1" showInputMessage="1" showErrorMessage="1" sqref="B58" xr:uid="{CD791C01-CF49-49E6-BA4F-EB8B4CE30EBF}">
      <formula1>$CJ$1:$CJ$2</formula1>
    </dataValidation>
    <dataValidation type="list" allowBlank="1" showInputMessage="1" showErrorMessage="1" sqref="B69" xr:uid="{68A972B9-08AC-458B-8374-85CD33365FCF}">
      <formula1>$CK$1:$CK$2</formula1>
    </dataValidation>
    <dataValidation type="list" allowBlank="1" showInputMessage="1" showErrorMessage="1" sqref="B70" xr:uid="{FB70AC42-5674-48F3-94FF-19FA10E8C44D}">
      <formula1>$CL$1:$CL$2</formula1>
    </dataValidation>
    <dataValidation type="list" allowBlank="1" showInputMessage="1" showErrorMessage="1" sqref="B66" xr:uid="{ACDE84E3-42F8-45A1-9494-4DB6BF96AAB2}">
      <formula1>$CM$1:$CM$2</formula1>
    </dataValidation>
    <dataValidation type="list" allowBlank="1" showInputMessage="1" showErrorMessage="1" sqref="B67" xr:uid="{AB2653CE-15A2-41B6-8829-907C268B661E}">
      <formula1>$CN$1:$CN$2</formula1>
    </dataValidation>
    <dataValidation type="list" allowBlank="1" showInputMessage="1" showErrorMessage="1" sqref="B68" xr:uid="{F59285B0-DDB2-4461-8744-BF1D7AA0692C}">
      <formula1>$CO$1:$CO$2</formula1>
    </dataValidation>
    <dataValidation type="list" allowBlank="1" showInputMessage="1" showErrorMessage="1" sqref="B89" xr:uid="{8F919AF1-B8EA-4BF6-85EF-BE044E4508E6}">
      <formula1>$CP$1:$CP$2</formula1>
    </dataValidation>
    <dataValidation type="list" allowBlank="1" showInputMessage="1" showErrorMessage="1" sqref="B90" xr:uid="{A950AC07-A098-42C8-9BBA-C6DC42AF3075}">
      <formula1>$CQ$1:$CQ$2</formula1>
    </dataValidation>
    <dataValidation type="list" allowBlank="1" showInputMessage="1" showErrorMessage="1" sqref="B92" xr:uid="{F7966E73-3E51-423D-8CC9-8D82CB84475F}">
      <formula1>$CR$1:$CR$2</formula1>
    </dataValidation>
    <dataValidation type="list" allowBlank="1" showInputMessage="1" showErrorMessage="1" sqref="B93" xr:uid="{45ADE2C1-411F-488A-8A27-19E2E18F0CF9}">
      <formula1>$CS$1:$CS$2</formula1>
    </dataValidation>
    <dataValidation type="list" allowBlank="1" showInputMessage="1" showErrorMessage="1" sqref="B94" xr:uid="{5EF52E2B-97A6-4FDD-89BA-71EB391F2A4B}">
      <formula1>$CT$1:$CT$2</formula1>
    </dataValidation>
    <dataValidation type="list" allowBlank="1" showInputMessage="1" showErrorMessage="1" sqref="B97" xr:uid="{1144D5EC-DCFD-4699-BC11-BA5F97A59372}">
      <formula1>$CU$1:$CU$2</formula1>
    </dataValidation>
    <dataValidation type="list" allowBlank="1" showInputMessage="1" showErrorMessage="1" sqref="B98" xr:uid="{C23C20F9-462F-40AD-8675-342A42429964}">
      <formula1>$CV$1:$CV$2</formula1>
    </dataValidation>
    <dataValidation type="list" allowBlank="1" showInputMessage="1" showErrorMessage="1" sqref="B99" xr:uid="{A880E51E-6802-4260-A7D3-0A84C48C5687}">
      <formula1>$CW$1:$CW$2</formula1>
    </dataValidation>
    <dataValidation type="list" allowBlank="1" showInputMessage="1" showErrorMessage="1" sqref="B100" xr:uid="{B5A0F2C6-BE05-4B3D-93F9-592249BABC52}">
      <formula1>$CX$1:$CX$2</formula1>
    </dataValidation>
    <dataValidation type="list" allowBlank="1" showInputMessage="1" showErrorMessage="1" sqref="B101" xr:uid="{731B206B-AF83-4CA8-81AD-B5CF54C67B28}">
      <formula1>$CY$1:$CY$2</formula1>
    </dataValidation>
    <dataValidation type="list" allowBlank="1" showInputMessage="1" showErrorMessage="1" sqref="B102" xr:uid="{5C9AF13E-B153-476E-ACF2-8E73CB8C7DA6}">
      <formula1>$CZ$1:$CZ$2</formula1>
    </dataValidation>
    <dataValidation type="list" showInputMessage="1" showErrorMessage="1" sqref="B65 B91" xr:uid="{9A359087-719B-46E0-BB86-2764B964B2E5}">
      <formula1>$DA$1:$DA$21</formula1>
    </dataValidation>
    <dataValidation type="list" showInputMessage="1" showErrorMessage="1" sqref="Q24 Q21:R21" xr:uid="{D7951248-0C37-4CE2-A3C0-DD5E968EB328}">
      <formula1>$DF$1:$DF$2</formula1>
    </dataValidation>
    <dataValidation type="list" showInputMessage="1" showErrorMessage="1" sqref="Q22:R22" xr:uid="{D905D56E-C1D6-41BC-BA84-2A3BB03D320B}">
      <formula1>$DG$1:$DG$2</formula1>
    </dataValidation>
    <dataValidation type="list" showInputMessage="1" showErrorMessage="1" sqref="R29" xr:uid="{328ADABF-559C-4E08-BB48-2F8B65A85E75}">
      <formula1>$DH$1:$DH$5</formula1>
    </dataValidation>
    <dataValidation type="list" showInputMessage="1" showErrorMessage="1" sqref="R30" xr:uid="{69ED2EA7-500C-4D63-835F-D6AFA8FE27D3}">
      <formula1>$DI$1:$DI$3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BECBD-6539-4F19-BFAC-92E51DFAFC3F}">
  <sheetPr codeName="Лист3"/>
  <dimension ref="A1:AY180"/>
  <sheetViews>
    <sheetView workbookViewId="0">
      <selection activeCell="C7" sqref="C7"/>
    </sheetView>
  </sheetViews>
  <sheetFormatPr defaultRowHeight="15" x14ac:dyDescent="0.25"/>
  <cols>
    <col min="1" max="1" width="20.7109375" customWidth="1"/>
    <col min="10" max="10" width="20.7109375" customWidth="1"/>
    <col min="29" max="29" width="20.7109375" customWidth="1"/>
    <col min="38" max="38" width="20.7109375" customWidth="1"/>
  </cols>
  <sheetData>
    <row r="1" spans="1:14" x14ac:dyDescent="0.25">
      <c r="A1" s="1" t="s">
        <v>405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t="s">
        <v>406</v>
      </c>
      <c r="B2">
        <v>1</v>
      </c>
    </row>
    <row r="3" spans="1:14" x14ac:dyDescent="0.25">
      <c r="A3" t="s">
        <v>407</v>
      </c>
    </row>
    <row r="4" spans="1:14" x14ac:dyDescent="0.25">
      <c r="A4" t="s">
        <v>408</v>
      </c>
      <c r="B4">
        <v>0.11199951171875</v>
      </c>
    </row>
    <row r="5" spans="1:14" x14ac:dyDescent="0.25">
      <c r="A5" t="s">
        <v>409</v>
      </c>
      <c r="B5" t="s">
        <v>740</v>
      </c>
      <c r="C5" t="s">
        <v>741</v>
      </c>
    </row>
    <row r="6" spans="1:14" x14ac:dyDescent="0.25">
      <c r="A6" t="s">
        <v>1</v>
      </c>
      <c r="B6" t="s">
        <v>410</v>
      </c>
      <c r="C6" t="s">
        <v>411</v>
      </c>
      <c r="D6" t="s">
        <v>412</v>
      </c>
      <c r="E6" t="s">
        <v>413</v>
      </c>
      <c r="F6" t="s">
        <v>414</v>
      </c>
      <c r="G6" t="s">
        <v>415</v>
      </c>
      <c r="H6" t="s">
        <v>416</v>
      </c>
      <c r="I6" t="s">
        <v>417</v>
      </c>
      <c r="J6" t="s">
        <v>418</v>
      </c>
      <c r="K6" t="s">
        <v>419</v>
      </c>
      <c r="L6" t="s">
        <v>420</v>
      </c>
      <c r="M6" t="s">
        <v>421</v>
      </c>
      <c r="N6" t="s">
        <v>422</v>
      </c>
    </row>
    <row r="7" spans="1:14" x14ac:dyDescent="0.25">
      <c r="A7">
        <v>1</v>
      </c>
      <c r="C7" t="s">
        <v>423</v>
      </c>
      <c r="D7" t="s">
        <v>423</v>
      </c>
      <c r="E7" t="s">
        <v>424</v>
      </c>
      <c r="F7" t="s">
        <v>425</v>
      </c>
      <c r="G7" t="s">
        <v>423</v>
      </c>
      <c r="H7">
        <v>7.8945985638167766</v>
      </c>
      <c r="I7">
        <v>0.12666888530384415</v>
      </c>
      <c r="J7">
        <v>8.9394717352552497</v>
      </c>
      <c r="K7">
        <v>2.6187889300210831E-2</v>
      </c>
      <c r="L7">
        <v>8.7292964334036105E-2</v>
      </c>
      <c r="M7">
        <v>0.12666888530384415</v>
      </c>
      <c r="N7" t="s">
        <v>426</v>
      </c>
    </row>
    <row r="32" spans="1:51" x14ac:dyDescent="0.25">
      <c r="A32" s="1" t="s">
        <v>427</v>
      </c>
      <c r="B32" s="1" t="s">
        <v>596</v>
      </c>
      <c r="C32" s="1" t="s">
        <v>428</v>
      </c>
      <c r="D32" s="1" t="s">
        <v>235</v>
      </c>
      <c r="E32" s="1" t="s">
        <v>597</v>
      </c>
      <c r="F32" s="1" t="s">
        <v>598</v>
      </c>
      <c r="J32" s="1" t="s">
        <v>427</v>
      </c>
      <c r="K32" s="1" t="s">
        <v>428</v>
      </c>
      <c r="L32" s="1" t="s">
        <v>429</v>
      </c>
      <c r="M32" s="1" t="s">
        <v>430</v>
      </c>
      <c r="N32" s="1" t="s">
        <v>431</v>
      </c>
      <c r="O32" s="1" t="s">
        <v>432</v>
      </c>
      <c r="P32" s="1" t="s">
        <v>433</v>
      </c>
      <c r="Q32" s="1" t="s">
        <v>434</v>
      </c>
      <c r="R32" s="1" t="s">
        <v>435</v>
      </c>
      <c r="S32" s="1" t="s">
        <v>436</v>
      </c>
      <c r="T32" s="1" t="s">
        <v>437</v>
      </c>
      <c r="U32" s="1" t="s">
        <v>438</v>
      </c>
      <c r="V32" s="1" t="s">
        <v>439</v>
      </c>
      <c r="W32" s="1" t="s">
        <v>440</v>
      </c>
      <c r="X32" s="1" t="s">
        <v>441</v>
      </c>
      <c r="Y32" s="1" t="s">
        <v>7</v>
      </c>
      <c r="AC32" s="1" t="s">
        <v>427</v>
      </c>
      <c r="AD32" s="1" t="s">
        <v>596</v>
      </c>
      <c r="AE32" s="1" t="s">
        <v>600</v>
      </c>
      <c r="AF32" s="1" t="s">
        <v>601</v>
      </c>
      <c r="AG32" s="1" t="s">
        <v>602</v>
      </c>
      <c r="AH32" s="1" t="s">
        <v>7</v>
      </c>
      <c r="AL32" s="1" t="s">
        <v>427</v>
      </c>
      <c r="AM32" s="1" t="s">
        <v>667</v>
      </c>
      <c r="AN32" s="1" t="s">
        <v>668</v>
      </c>
      <c r="AO32" s="1" t="s">
        <v>669</v>
      </c>
      <c r="AP32" s="1" t="s">
        <v>670</v>
      </c>
      <c r="AQ32" s="1" t="s">
        <v>671</v>
      </c>
      <c r="AR32" s="1" t="s">
        <v>672</v>
      </c>
      <c r="AS32" s="1" t="s">
        <v>673</v>
      </c>
      <c r="AT32" s="1" t="s">
        <v>674</v>
      </c>
      <c r="AU32" s="1" t="s">
        <v>285</v>
      </c>
      <c r="AV32" s="1" t="s">
        <v>675</v>
      </c>
      <c r="AW32" s="1" t="s">
        <v>601</v>
      </c>
      <c r="AX32" s="1" t="s">
        <v>602</v>
      </c>
      <c r="AY32" s="1" t="s">
        <v>7</v>
      </c>
    </row>
    <row r="33" spans="1:51" x14ac:dyDescent="0.25">
      <c r="A33" s="18">
        <v>46256.01</v>
      </c>
      <c r="B33">
        <v>1</v>
      </c>
      <c r="C33" t="s">
        <v>442</v>
      </c>
      <c r="D33">
        <v>-3.9152201647406007E-4</v>
      </c>
      <c r="E33">
        <v>-4.0457275035652875</v>
      </c>
      <c r="F33" t="s">
        <v>268</v>
      </c>
      <c r="J33" s="18">
        <v>46256.01</v>
      </c>
      <c r="K33" t="s">
        <v>442</v>
      </c>
      <c r="L33" t="s">
        <v>155</v>
      </c>
      <c r="M33" t="s">
        <v>43</v>
      </c>
      <c r="N33">
        <v>25</v>
      </c>
      <c r="O33">
        <v>25</v>
      </c>
      <c r="P33">
        <v>2500</v>
      </c>
      <c r="Q33" t="s">
        <v>443</v>
      </c>
      <c r="R33">
        <v>50</v>
      </c>
      <c r="S33">
        <v>50</v>
      </c>
      <c r="U33">
        <v>0</v>
      </c>
      <c r="V33">
        <v>0</v>
      </c>
      <c r="W33">
        <v>0</v>
      </c>
      <c r="X33">
        <v>0</v>
      </c>
      <c r="Y33" t="s">
        <v>444</v>
      </c>
      <c r="AC33" s="18">
        <v>46256.01</v>
      </c>
      <c r="AD33" t="s">
        <v>603</v>
      </c>
      <c r="AE33" t="s">
        <v>604</v>
      </c>
      <c r="AF33">
        <v>0</v>
      </c>
      <c r="AG33" t="s">
        <v>243</v>
      </c>
      <c r="AH33" t="s">
        <v>605</v>
      </c>
      <c r="AL33" s="18">
        <v>46256.01</v>
      </c>
      <c r="AM33" t="s">
        <v>676</v>
      </c>
      <c r="AN33" t="s">
        <v>677</v>
      </c>
      <c r="AO33">
        <v>0</v>
      </c>
      <c r="AP33">
        <v>0</v>
      </c>
      <c r="AQ33">
        <v>600</v>
      </c>
      <c r="AR33">
        <v>0</v>
      </c>
      <c r="AY33" t="s">
        <v>678</v>
      </c>
    </row>
    <row r="34" spans="1:51" x14ac:dyDescent="0.25">
      <c r="A34" s="18">
        <v>46256.01</v>
      </c>
      <c r="B34">
        <v>1</v>
      </c>
      <c r="C34" t="s">
        <v>445</v>
      </c>
      <c r="D34">
        <v>-3.7170828636508393E-4</v>
      </c>
      <c r="E34">
        <v>-3.8409856257725341</v>
      </c>
      <c r="F34" t="s">
        <v>268</v>
      </c>
      <c r="J34" s="18">
        <v>46256.01</v>
      </c>
      <c r="K34" t="s">
        <v>445</v>
      </c>
      <c r="L34" t="s">
        <v>155</v>
      </c>
      <c r="M34" t="s">
        <v>43</v>
      </c>
      <c r="N34">
        <v>75</v>
      </c>
      <c r="O34">
        <v>25</v>
      </c>
      <c r="P34">
        <v>2500</v>
      </c>
      <c r="Q34" t="s">
        <v>443</v>
      </c>
      <c r="R34">
        <v>50</v>
      </c>
      <c r="S34">
        <v>50</v>
      </c>
      <c r="U34">
        <v>0</v>
      </c>
      <c r="V34">
        <v>0</v>
      </c>
      <c r="W34">
        <v>0</v>
      </c>
      <c r="X34">
        <v>0</v>
      </c>
      <c r="Y34" t="s">
        <v>444</v>
      </c>
      <c r="AC34" s="18">
        <v>46256.01</v>
      </c>
      <c r="AD34" t="s">
        <v>603</v>
      </c>
      <c r="AE34" t="s">
        <v>606</v>
      </c>
      <c r="AF34">
        <v>600</v>
      </c>
      <c r="AG34" t="s">
        <v>243</v>
      </c>
      <c r="AH34" t="s">
        <v>607</v>
      </c>
      <c r="AL34" s="18">
        <v>46256.01</v>
      </c>
      <c r="AM34" t="s">
        <v>676</v>
      </c>
      <c r="AN34" t="s">
        <v>679</v>
      </c>
      <c r="AO34">
        <v>600</v>
      </c>
      <c r="AP34">
        <v>0</v>
      </c>
      <c r="AQ34">
        <v>600</v>
      </c>
      <c r="AR34">
        <v>250</v>
      </c>
      <c r="AY34" t="s">
        <v>678</v>
      </c>
    </row>
    <row r="35" spans="1:51" x14ac:dyDescent="0.25">
      <c r="A35" s="18">
        <v>46256.01</v>
      </c>
      <c r="B35">
        <v>1</v>
      </c>
      <c r="C35" t="s">
        <v>446</v>
      </c>
      <c r="D35">
        <v>-3.5189455625610775E-4</v>
      </c>
      <c r="E35">
        <v>-3.6362437479797798</v>
      </c>
      <c r="F35" t="s">
        <v>268</v>
      </c>
      <c r="J35" s="18">
        <v>46256.01</v>
      </c>
      <c r="K35" t="s">
        <v>446</v>
      </c>
      <c r="L35" t="s">
        <v>155</v>
      </c>
      <c r="M35" t="s">
        <v>43</v>
      </c>
      <c r="N35">
        <v>125</v>
      </c>
      <c r="O35">
        <v>25</v>
      </c>
      <c r="P35">
        <v>2500</v>
      </c>
      <c r="Q35" t="s">
        <v>443</v>
      </c>
      <c r="R35">
        <v>50</v>
      </c>
      <c r="S35">
        <v>50</v>
      </c>
      <c r="U35">
        <v>0</v>
      </c>
      <c r="V35">
        <v>0</v>
      </c>
      <c r="W35">
        <v>0</v>
      </c>
      <c r="X35">
        <v>0</v>
      </c>
      <c r="Y35" t="s">
        <v>444</v>
      </c>
      <c r="AC35" s="18">
        <v>46256.01</v>
      </c>
      <c r="AD35" t="s">
        <v>603</v>
      </c>
      <c r="AE35" t="s">
        <v>608</v>
      </c>
      <c r="AF35">
        <v>0</v>
      </c>
      <c r="AG35" t="s">
        <v>243</v>
      </c>
      <c r="AH35" t="s">
        <v>609</v>
      </c>
      <c r="AL35" s="18">
        <v>46256.01</v>
      </c>
      <c r="AM35" t="s">
        <v>676</v>
      </c>
      <c r="AN35" t="s">
        <v>680</v>
      </c>
      <c r="AO35">
        <v>600</v>
      </c>
      <c r="AP35">
        <v>250</v>
      </c>
      <c r="AQ35">
        <v>250</v>
      </c>
      <c r="AR35">
        <v>250</v>
      </c>
      <c r="AY35" t="s">
        <v>678</v>
      </c>
    </row>
    <row r="36" spans="1:51" x14ac:dyDescent="0.25">
      <c r="A36" s="18">
        <v>46256.01</v>
      </c>
      <c r="B36">
        <v>1</v>
      </c>
      <c r="C36" t="s">
        <v>447</v>
      </c>
      <c r="D36">
        <v>-3.3208082614713161E-4</v>
      </c>
      <c r="E36">
        <v>-3.4315018701870268</v>
      </c>
      <c r="F36" t="s">
        <v>268</v>
      </c>
      <c r="J36" s="18">
        <v>46256.01</v>
      </c>
      <c r="K36" t="s">
        <v>447</v>
      </c>
      <c r="L36" t="s">
        <v>155</v>
      </c>
      <c r="M36" t="s">
        <v>43</v>
      </c>
      <c r="N36">
        <v>175</v>
      </c>
      <c r="O36">
        <v>25</v>
      </c>
      <c r="P36">
        <v>2500</v>
      </c>
      <c r="Q36" t="s">
        <v>443</v>
      </c>
      <c r="R36">
        <v>50</v>
      </c>
      <c r="S36">
        <v>50</v>
      </c>
      <c r="U36">
        <v>0</v>
      </c>
      <c r="V36">
        <v>0</v>
      </c>
      <c r="W36">
        <v>0</v>
      </c>
      <c r="X36">
        <v>0</v>
      </c>
      <c r="Y36" t="s">
        <v>444</v>
      </c>
      <c r="AC36" s="18">
        <v>46256.01</v>
      </c>
      <c r="AD36" t="s">
        <v>603</v>
      </c>
      <c r="AE36" t="s">
        <v>610</v>
      </c>
      <c r="AF36">
        <v>800</v>
      </c>
      <c r="AG36" t="s">
        <v>243</v>
      </c>
      <c r="AH36" t="s">
        <v>611</v>
      </c>
      <c r="AL36" s="18">
        <v>46256.01</v>
      </c>
      <c r="AM36" t="s">
        <v>676</v>
      </c>
      <c r="AN36" t="s">
        <v>681</v>
      </c>
      <c r="AO36">
        <v>250</v>
      </c>
      <c r="AP36">
        <v>250</v>
      </c>
      <c r="AQ36">
        <v>250</v>
      </c>
      <c r="AR36">
        <v>800</v>
      </c>
      <c r="AY36" t="s">
        <v>678</v>
      </c>
    </row>
    <row r="37" spans="1:51" x14ac:dyDescent="0.25">
      <c r="A37" s="18">
        <v>46256.01</v>
      </c>
      <c r="B37">
        <v>1</v>
      </c>
      <c r="C37" t="s">
        <v>448</v>
      </c>
      <c r="D37">
        <v>-3.1226709603815548E-4</v>
      </c>
      <c r="E37">
        <v>-3.2267599923942734</v>
      </c>
      <c r="F37" t="s">
        <v>268</v>
      </c>
      <c r="J37" s="18">
        <v>46256.01</v>
      </c>
      <c r="K37" t="s">
        <v>448</v>
      </c>
      <c r="L37" t="s">
        <v>155</v>
      </c>
      <c r="M37" t="s">
        <v>43</v>
      </c>
      <c r="N37">
        <v>225</v>
      </c>
      <c r="O37">
        <v>25</v>
      </c>
      <c r="P37">
        <v>2500</v>
      </c>
      <c r="Q37" t="s">
        <v>443</v>
      </c>
      <c r="R37">
        <v>50</v>
      </c>
      <c r="S37">
        <v>50</v>
      </c>
      <c r="U37">
        <v>0</v>
      </c>
      <c r="V37">
        <v>0</v>
      </c>
      <c r="W37">
        <v>0</v>
      </c>
      <c r="X37">
        <v>0</v>
      </c>
      <c r="Y37" t="s">
        <v>444</v>
      </c>
      <c r="AC37" s="18">
        <v>46256.01</v>
      </c>
      <c r="AD37" t="s">
        <v>603</v>
      </c>
      <c r="AE37" t="s">
        <v>612</v>
      </c>
      <c r="AF37">
        <v>211.35368808413972</v>
      </c>
      <c r="AG37" t="s">
        <v>243</v>
      </c>
      <c r="AH37" t="s">
        <v>613</v>
      </c>
      <c r="AL37" s="18">
        <v>46256.01</v>
      </c>
      <c r="AM37" t="s">
        <v>676</v>
      </c>
      <c r="AN37" t="s">
        <v>682</v>
      </c>
      <c r="AO37">
        <v>250</v>
      </c>
      <c r="AP37">
        <v>800</v>
      </c>
      <c r="AQ37">
        <v>0</v>
      </c>
      <c r="AR37">
        <v>800</v>
      </c>
      <c r="AY37" t="s">
        <v>678</v>
      </c>
    </row>
    <row r="38" spans="1:51" x14ac:dyDescent="0.25">
      <c r="A38" s="18">
        <v>46256.01</v>
      </c>
      <c r="B38">
        <v>1</v>
      </c>
      <c r="C38" t="s">
        <v>449</v>
      </c>
      <c r="D38">
        <v>-2.9245336592917929E-4</v>
      </c>
      <c r="E38">
        <v>-3.0220181146015195</v>
      </c>
      <c r="F38" t="s">
        <v>268</v>
      </c>
      <c r="J38" s="18">
        <v>46256.01</v>
      </c>
      <c r="K38" t="s">
        <v>449</v>
      </c>
      <c r="L38" t="s">
        <v>155</v>
      </c>
      <c r="M38" t="s">
        <v>43</v>
      </c>
      <c r="N38">
        <v>275</v>
      </c>
      <c r="O38">
        <v>25</v>
      </c>
      <c r="P38">
        <v>2500</v>
      </c>
      <c r="Q38" t="s">
        <v>443</v>
      </c>
      <c r="R38">
        <v>50</v>
      </c>
      <c r="S38">
        <v>50</v>
      </c>
      <c r="U38">
        <v>0</v>
      </c>
      <c r="V38">
        <v>0</v>
      </c>
      <c r="W38">
        <v>0</v>
      </c>
      <c r="X38">
        <v>0</v>
      </c>
      <c r="Y38" t="s">
        <v>444</v>
      </c>
      <c r="AC38" s="18">
        <v>46256.01</v>
      </c>
      <c r="AD38" t="s">
        <v>603</v>
      </c>
      <c r="AE38" t="s">
        <v>614</v>
      </c>
      <c r="AF38">
        <v>324.22540341320268</v>
      </c>
      <c r="AG38" t="s">
        <v>243</v>
      </c>
      <c r="AH38" t="s">
        <v>613</v>
      </c>
      <c r="AL38" s="18">
        <v>46256.01</v>
      </c>
      <c r="AM38" t="s">
        <v>676</v>
      </c>
      <c r="AN38" t="s">
        <v>683</v>
      </c>
      <c r="AO38">
        <v>0</v>
      </c>
      <c r="AP38">
        <v>800</v>
      </c>
      <c r="AQ38">
        <v>0</v>
      </c>
      <c r="AR38">
        <v>0</v>
      </c>
      <c r="AY38" t="s">
        <v>678</v>
      </c>
    </row>
    <row r="39" spans="1:51" x14ac:dyDescent="0.25">
      <c r="A39" s="18">
        <v>46256.01</v>
      </c>
      <c r="B39">
        <v>1</v>
      </c>
      <c r="C39" t="s">
        <v>450</v>
      </c>
      <c r="D39">
        <v>-2.7263963582020316E-4</v>
      </c>
      <c r="E39">
        <v>-2.817276236808766</v>
      </c>
      <c r="F39" t="s">
        <v>268</v>
      </c>
      <c r="J39" s="18">
        <v>46256.01</v>
      </c>
      <c r="K39" t="s">
        <v>450</v>
      </c>
      <c r="L39" t="s">
        <v>155</v>
      </c>
      <c r="M39" t="s">
        <v>43</v>
      </c>
      <c r="N39">
        <v>325</v>
      </c>
      <c r="O39">
        <v>25</v>
      </c>
      <c r="P39">
        <v>2500</v>
      </c>
      <c r="Q39" t="s">
        <v>443</v>
      </c>
      <c r="R39">
        <v>50</v>
      </c>
      <c r="S39">
        <v>50</v>
      </c>
      <c r="U39">
        <v>0</v>
      </c>
      <c r="V39">
        <v>0</v>
      </c>
      <c r="W39">
        <v>0</v>
      </c>
      <c r="X39">
        <v>0</v>
      </c>
      <c r="Y39" t="s">
        <v>444</v>
      </c>
      <c r="AC39" s="18">
        <v>46256.01</v>
      </c>
      <c r="AD39" t="s">
        <v>603</v>
      </c>
      <c r="AE39" t="s">
        <v>615</v>
      </c>
      <c r="AF39">
        <v>1.1267933223382585</v>
      </c>
      <c r="AG39" t="s">
        <v>616</v>
      </c>
      <c r="AH39" t="s">
        <v>617</v>
      </c>
      <c r="AL39" s="18">
        <v>46256.01</v>
      </c>
      <c r="AM39" t="s">
        <v>684</v>
      </c>
      <c r="AN39" t="s">
        <v>685</v>
      </c>
      <c r="AO39">
        <v>0</v>
      </c>
      <c r="AP39">
        <v>0</v>
      </c>
      <c r="AQ39">
        <v>600</v>
      </c>
      <c r="AR39">
        <v>0</v>
      </c>
      <c r="AS39">
        <v>0</v>
      </c>
      <c r="AT39">
        <v>-1</v>
      </c>
      <c r="AU39">
        <v>96</v>
      </c>
      <c r="AV39" t="s">
        <v>686</v>
      </c>
      <c r="AW39">
        <v>600</v>
      </c>
      <c r="AX39" t="s">
        <v>243</v>
      </c>
      <c r="AY39" t="s">
        <v>687</v>
      </c>
    </row>
    <row r="40" spans="1:51" x14ac:dyDescent="0.25">
      <c r="A40" s="18">
        <v>46256.01</v>
      </c>
      <c r="B40">
        <v>1</v>
      </c>
      <c r="C40" t="s">
        <v>451</v>
      </c>
      <c r="D40">
        <v>-2.5282590571122697E-4</v>
      </c>
      <c r="E40">
        <v>-2.6125343590160122</v>
      </c>
      <c r="F40" t="s">
        <v>268</v>
      </c>
      <c r="J40" s="18">
        <v>46256.01</v>
      </c>
      <c r="K40" t="s">
        <v>451</v>
      </c>
      <c r="L40" t="s">
        <v>155</v>
      </c>
      <c r="M40" t="s">
        <v>43</v>
      </c>
      <c r="N40">
        <v>375</v>
      </c>
      <c r="O40">
        <v>25</v>
      </c>
      <c r="P40">
        <v>2500</v>
      </c>
      <c r="Q40" t="s">
        <v>443</v>
      </c>
      <c r="R40">
        <v>50</v>
      </c>
      <c r="S40">
        <v>50</v>
      </c>
      <c r="U40">
        <v>0</v>
      </c>
      <c r="V40">
        <v>0</v>
      </c>
      <c r="W40">
        <v>0</v>
      </c>
      <c r="X40">
        <v>0</v>
      </c>
      <c r="Y40" t="s">
        <v>444</v>
      </c>
      <c r="AC40" s="18">
        <v>46256.01</v>
      </c>
      <c r="AD40" t="s">
        <v>603</v>
      </c>
      <c r="AE40" t="s">
        <v>618</v>
      </c>
      <c r="AF40">
        <v>476281162736077.25</v>
      </c>
      <c r="AG40" t="s">
        <v>619</v>
      </c>
      <c r="AH40" t="s">
        <v>620</v>
      </c>
      <c r="AL40" s="18">
        <v>46256.01</v>
      </c>
      <c r="AM40" t="s">
        <v>684</v>
      </c>
      <c r="AN40" t="s">
        <v>688</v>
      </c>
      <c r="AO40">
        <v>0</v>
      </c>
      <c r="AP40">
        <v>0</v>
      </c>
      <c r="AQ40">
        <v>0</v>
      </c>
      <c r="AR40">
        <v>800</v>
      </c>
      <c r="AS40">
        <v>-1</v>
      </c>
      <c r="AT40">
        <v>0</v>
      </c>
      <c r="AU40">
        <v>96</v>
      </c>
      <c r="AV40" t="s">
        <v>689</v>
      </c>
      <c r="AW40">
        <v>800</v>
      </c>
      <c r="AX40" t="s">
        <v>243</v>
      </c>
      <c r="AY40" t="s">
        <v>690</v>
      </c>
    </row>
    <row r="41" spans="1:51" x14ac:dyDescent="0.25">
      <c r="A41" s="18">
        <v>46256.01</v>
      </c>
      <c r="B41">
        <v>1</v>
      </c>
      <c r="C41" t="s">
        <v>452</v>
      </c>
      <c r="D41">
        <v>-2.3301217560225084E-4</v>
      </c>
      <c r="E41">
        <v>-2.4077924812232587</v>
      </c>
      <c r="F41" t="s">
        <v>268</v>
      </c>
      <c r="J41" s="18">
        <v>46256.01</v>
      </c>
      <c r="K41" t="s">
        <v>452</v>
      </c>
      <c r="L41" t="s">
        <v>155</v>
      </c>
      <c r="M41" t="s">
        <v>43</v>
      </c>
      <c r="N41">
        <v>425</v>
      </c>
      <c r="O41">
        <v>25</v>
      </c>
      <c r="P41">
        <v>2500</v>
      </c>
      <c r="Q41" t="s">
        <v>443</v>
      </c>
      <c r="R41">
        <v>50</v>
      </c>
      <c r="S41">
        <v>50</v>
      </c>
      <c r="U41">
        <v>0</v>
      </c>
      <c r="V41">
        <v>0</v>
      </c>
      <c r="W41">
        <v>0</v>
      </c>
      <c r="X41">
        <v>0</v>
      </c>
      <c r="Y41" t="s">
        <v>444</v>
      </c>
      <c r="AC41" s="18">
        <v>46256.01</v>
      </c>
      <c r="AD41" t="s">
        <v>603</v>
      </c>
      <c r="AE41" t="s">
        <v>621</v>
      </c>
      <c r="AF41">
        <v>140599323660483.47</v>
      </c>
      <c r="AG41" t="s">
        <v>619</v>
      </c>
      <c r="AH41" t="s">
        <v>622</v>
      </c>
      <c r="AL41" s="18">
        <v>46256.01</v>
      </c>
      <c r="AM41" t="s">
        <v>684</v>
      </c>
      <c r="AN41" t="s">
        <v>691</v>
      </c>
      <c r="AO41">
        <v>0</v>
      </c>
      <c r="AP41">
        <v>800</v>
      </c>
      <c r="AQ41">
        <v>250</v>
      </c>
      <c r="AR41">
        <v>800</v>
      </c>
      <c r="AS41">
        <v>0</v>
      </c>
      <c r="AT41">
        <v>1</v>
      </c>
      <c r="AU41">
        <v>52.800000000000004</v>
      </c>
      <c r="AV41" t="s">
        <v>692</v>
      </c>
      <c r="AW41">
        <v>250</v>
      </c>
      <c r="AX41" t="s">
        <v>243</v>
      </c>
      <c r="AY41" t="s">
        <v>693</v>
      </c>
    </row>
    <row r="42" spans="1:51" x14ac:dyDescent="0.25">
      <c r="A42" s="18">
        <v>46256.01</v>
      </c>
      <c r="B42">
        <v>1</v>
      </c>
      <c r="C42" t="s">
        <v>453</v>
      </c>
      <c r="D42">
        <v>-2.1319844549327468E-4</v>
      </c>
      <c r="E42">
        <v>-2.2030506034305049</v>
      </c>
      <c r="F42" t="s">
        <v>268</v>
      </c>
      <c r="J42" s="18">
        <v>46256.01</v>
      </c>
      <c r="K42" t="s">
        <v>453</v>
      </c>
      <c r="L42" t="s">
        <v>155</v>
      </c>
      <c r="M42" t="s">
        <v>43</v>
      </c>
      <c r="N42">
        <v>475</v>
      </c>
      <c r="O42">
        <v>25</v>
      </c>
      <c r="P42">
        <v>2500</v>
      </c>
      <c r="Q42" t="s">
        <v>443</v>
      </c>
      <c r="R42">
        <v>50</v>
      </c>
      <c r="S42">
        <v>50</v>
      </c>
      <c r="U42">
        <v>0</v>
      </c>
      <c r="V42">
        <v>0</v>
      </c>
      <c r="W42">
        <v>0</v>
      </c>
      <c r="X42">
        <v>0</v>
      </c>
      <c r="Y42" t="s">
        <v>444</v>
      </c>
      <c r="AC42" s="18">
        <v>46256.01</v>
      </c>
      <c r="AD42" t="s">
        <v>603</v>
      </c>
      <c r="AE42" t="s">
        <v>623</v>
      </c>
      <c r="AF42">
        <v>115</v>
      </c>
      <c r="AG42" t="s">
        <v>35</v>
      </c>
      <c r="AH42" t="s">
        <v>624</v>
      </c>
      <c r="AL42" s="18">
        <v>46256.01</v>
      </c>
      <c r="AM42" t="s">
        <v>684</v>
      </c>
      <c r="AN42" t="s">
        <v>694</v>
      </c>
      <c r="AO42">
        <v>600</v>
      </c>
      <c r="AP42">
        <v>0</v>
      </c>
      <c r="AQ42">
        <v>600</v>
      </c>
      <c r="AR42">
        <v>250</v>
      </c>
      <c r="AS42">
        <v>1</v>
      </c>
      <c r="AT42">
        <v>0</v>
      </c>
      <c r="AU42">
        <v>52.800000000000004</v>
      </c>
      <c r="AV42" t="s">
        <v>695</v>
      </c>
      <c r="AW42">
        <v>250</v>
      </c>
      <c r="AX42" t="s">
        <v>243</v>
      </c>
      <c r="AY42" t="s">
        <v>696</v>
      </c>
    </row>
    <row r="43" spans="1:51" x14ac:dyDescent="0.25">
      <c r="A43" s="18">
        <v>46256.01</v>
      </c>
      <c r="B43">
        <v>1</v>
      </c>
      <c r="C43" t="s">
        <v>454</v>
      </c>
      <c r="D43">
        <v>-1.9338471538429854E-4</v>
      </c>
      <c r="E43">
        <v>-1.9983087256377516</v>
      </c>
      <c r="F43" t="s">
        <v>268</v>
      </c>
      <c r="J43" s="18">
        <v>46256.01</v>
      </c>
      <c r="K43" t="s">
        <v>454</v>
      </c>
      <c r="L43" t="s">
        <v>155</v>
      </c>
      <c r="M43" t="s">
        <v>43</v>
      </c>
      <c r="N43">
        <v>525</v>
      </c>
      <c r="O43">
        <v>25</v>
      </c>
      <c r="P43">
        <v>2500</v>
      </c>
      <c r="Q43" t="s">
        <v>443</v>
      </c>
      <c r="R43">
        <v>50</v>
      </c>
      <c r="S43">
        <v>50</v>
      </c>
      <c r="U43">
        <v>0</v>
      </c>
      <c r="V43">
        <v>0</v>
      </c>
      <c r="W43">
        <v>0</v>
      </c>
      <c r="X43">
        <v>0</v>
      </c>
      <c r="Y43" t="s">
        <v>444</v>
      </c>
      <c r="AC43" s="18">
        <v>46256.01</v>
      </c>
      <c r="AD43" t="s">
        <v>603</v>
      </c>
      <c r="AE43" t="s">
        <v>625</v>
      </c>
      <c r="AF43">
        <v>31</v>
      </c>
      <c r="AG43" t="s">
        <v>35</v>
      </c>
      <c r="AH43" t="s">
        <v>626</v>
      </c>
      <c r="AL43" s="18">
        <v>46256.01</v>
      </c>
      <c r="AM43" t="s">
        <v>697</v>
      </c>
      <c r="AN43" t="s">
        <v>698</v>
      </c>
      <c r="AO43">
        <v>40</v>
      </c>
      <c r="AP43">
        <v>330</v>
      </c>
      <c r="AQ43">
        <v>40</v>
      </c>
      <c r="AR43">
        <v>720</v>
      </c>
      <c r="AS43">
        <v>-1</v>
      </c>
      <c r="AT43">
        <v>0</v>
      </c>
      <c r="AU43">
        <v>40</v>
      </c>
      <c r="AV43" t="s">
        <v>742</v>
      </c>
      <c r="AY43" t="s">
        <v>700</v>
      </c>
    </row>
    <row r="44" spans="1:51" x14ac:dyDescent="0.25">
      <c r="A44" s="18">
        <v>46256.01</v>
      </c>
      <c r="B44">
        <v>1</v>
      </c>
      <c r="C44" t="s">
        <v>455</v>
      </c>
      <c r="D44">
        <v>-1.7357098527532238E-4</v>
      </c>
      <c r="E44">
        <v>-1.793566847844998</v>
      </c>
      <c r="F44" t="s">
        <v>268</v>
      </c>
      <c r="J44" s="18">
        <v>46256.01</v>
      </c>
      <c r="K44" t="s">
        <v>455</v>
      </c>
      <c r="L44" t="s">
        <v>155</v>
      </c>
      <c r="M44" t="s">
        <v>43</v>
      </c>
      <c r="N44">
        <v>575</v>
      </c>
      <c r="O44">
        <v>25</v>
      </c>
      <c r="P44">
        <v>2500</v>
      </c>
      <c r="Q44" t="s">
        <v>443</v>
      </c>
      <c r="R44">
        <v>50</v>
      </c>
      <c r="S44">
        <v>50</v>
      </c>
      <c r="U44">
        <v>0</v>
      </c>
      <c r="V44">
        <v>0</v>
      </c>
      <c r="W44">
        <v>0</v>
      </c>
      <c r="X44">
        <v>0</v>
      </c>
      <c r="Y44" t="s">
        <v>444</v>
      </c>
      <c r="AC44" s="18">
        <v>46256.01</v>
      </c>
      <c r="AD44" t="s">
        <v>603</v>
      </c>
      <c r="AE44" t="s">
        <v>627</v>
      </c>
      <c r="AF44" t="s">
        <v>243</v>
      </c>
      <c r="AG44" t="s">
        <v>288</v>
      </c>
      <c r="AH44" t="s">
        <v>628</v>
      </c>
      <c r="AL44" s="18">
        <v>46256.01</v>
      </c>
      <c r="AM44" t="s">
        <v>697</v>
      </c>
      <c r="AN44" t="s">
        <v>701</v>
      </c>
      <c r="AO44">
        <v>210</v>
      </c>
      <c r="AP44">
        <v>720</v>
      </c>
      <c r="AQ44">
        <v>210</v>
      </c>
      <c r="AR44">
        <v>330</v>
      </c>
      <c r="AS44">
        <v>1</v>
      </c>
      <c r="AT44">
        <v>0</v>
      </c>
      <c r="AU44">
        <v>40</v>
      </c>
      <c r="AV44" t="s">
        <v>699</v>
      </c>
      <c r="AY44" t="s">
        <v>700</v>
      </c>
    </row>
    <row r="45" spans="1:51" x14ac:dyDescent="0.25">
      <c r="A45" s="18">
        <v>46256.01</v>
      </c>
      <c r="B45">
        <v>1</v>
      </c>
      <c r="C45" t="s">
        <v>456</v>
      </c>
      <c r="D45">
        <v>-3.598892514632381E-4</v>
      </c>
      <c r="E45">
        <v>-3.7188555984534601</v>
      </c>
      <c r="F45" t="s">
        <v>268</v>
      </c>
      <c r="J45" s="18">
        <v>46256.01</v>
      </c>
      <c r="K45" t="s">
        <v>456</v>
      </c>
      <c r="L45" t="s">
        <v>155</v>
      </c>
      <c r="M45" t="s">
        <v>43</v>
      </c>
      <c r="N45">
        <v>25</v>
      </c>
      <c r="O45">
        <v>75</v>
      </c>
      <c r="P45">
        <v>2500</v>
      </c>
      <c r="Q45" t="s">
        <v>443</v>
      </c>
      <c r="R45">
        <v>50</v>
      </c>
      <c r="S45">
        <v>50</v>
      </c>
      <c r="U45">
        <v>0</v>
      </c>
      <c r="V45">
        <v>0</v>
      </c>
      <c r="W45">
        <v>0</v>
      </c>
      <c r="X45">
        <v>0</v>
      </c>
      <c r="Y45" t="s">
        <v>444</v>
      </c>
      <c r="AC45" s="18">
        <v>46256.01</v>
      </c>
      <c r="AD45" t="s">
        <v>603</v>
      </c>
      <c r="AE45" t="s">
        <v>629</v>
      </c>
      <c r="AF45" t="s">
        <v>245</v>
      </c>
      <c r="AG45" t="s">
        <v>288</v>
      </c>
      <c r="AH45" t="s">
        <v>630</v>
      </c>
      <c r="AL45" s="18">
        <v>46256.01</v>
      </c>
      <c r="AM45" t="s">
        <v>697</v>
      </c>
      <c r="AN45" t="s">
        <v>702</v>
      </c>
      <c r="AO45">
        <v>80</v>
      </c>
      <c r="AP45">
        <v>760</v>
      </c>
      <c r="AQ45">
        <v>170</v>
      </c>
      <c r="AR45">
        <v>760</v>
      </c>
      <c r="AS45">
        <v>0</v>
      </c>
      <c r="AT45">
        <v>1</v>
      </c>
      <c r="AU45">
        <v>40</v>
      </c>
      <c r="AV45" t="s">
        <v>703</v>
      </c>
      <c r="AY45" t="s">
        <v>700</v>
      </c>
    </row>
    <row r="46" spans="1:51" x14ac:dyDescent="0.25">
      <c r="A46" s="18">
        <v>46256.01</v>
      </c>
      <c r="B46">
        <v>1</v>
      </c>
      <c r="C46" t="s">
        <v>457</v>
      </c>
      <c r="D46">
        <v>-3.4007552135426191E-4</v>
      </c>
      <c r="E46">
        <v>-3.5141137206607063</v>
      </c>
      <c r="F46" t="s">
        <v>268</v>
      </c>
      <c r="J46" s="18">
        <v>46256.01</v>
      </c>
      <c r="K46" t="s">
        <v>457</v>
      </c>
      <c r="L46" t="s">
        <v>155</v>
      </c>
      <c r="M46" t="s">
        <v>43</v>
      </c>
      <c r="N46">
        <v>75</v>
      </c>
      <c r="O46">
        <v>75</v>
      </c>
      <c r="P46">
        <v>2500</v>
      </c>
      <c r="Q46" t="s">
        <v>443</v>
      </c>
      <c r="R46">
        <v>50</v>
      </c>
      <c r="S46">
        <v>50</v>
      </c>
      <c r="U46">
        <v>0</v>
      </c>
      <c r="V46">
        <v>0</v>
      </c>
      <c r="W46">
        <v>0</v>
      </c>
      <c r="X46">
        <v>0</v>
      </c>
      <c r="Y46" t="s">
        <v>444</v>
      </c>
      <c r="AC46" s="18">
        <v>46256.01</v>
      </c>
      <c r="AD46" t="s">
        <v>603</v>
      </c>
      <c r="AE46" t="s">
        <v>631</v>
      </c>
      <c r="AF46" t="s">
        <v>247</v>
      </c>
      <c r="AG46" t="s">
        <v>288</v>
      </c>
      <c r="AH46" t="s">
        <v>632</v>
      </c>
      <c r="AL46" s="18">
        <v>46256.01</v>
      </c>
      <c r="AM46" t="s">
        <v>697</v>
      </c>
      <c r="AN46" t="s">
        <v>704</v>
      </c>
      <c r="AO46">
        <v>170</v>
      </c>
      <c r="AP46">
        <v>290</v>
      </c>
      <c r="AQ46">
        <v>79.999999999999986</v>
      </c>
      <c r="AR46">
        <v>290</v>
      </c>
      <c r="AS46">
        <v>0</v>
      </c>
      <c r="AT46">
        <v>-1</v>
      </c>
      <c r="AU46">
        <v>40</v>
      </c>
      <c r="AV46" t="s">
        <v>703</v>
      </c>
      <c r="AY46" t="s">
        <v>700</v>
      </c>
    </row>
    <row r="47" spans="1:51" x14ac:dyDescent="0.25">
      <c r="A47" s="18">
        <v>46256.01</v>
      </c>
      <c r="B47">
        <v>1</v>
      </c>
      <c r="C47" t="s">
        <v>458</v>
      </c>
      <c r="D47">
        <v>-3.2026179124528578E-4</v>
      </c>
      <c r="E47">
        <v>-3.3093718428679528</v>
      </c>
      <c r="F47" t="s">
        <v>268</v>
      </c>
      <c r="J47" s="18">
        <v>46256.01</v>
      </c>
      <c r="K47" t="s">
        <v>458</v>
      </c>
      <c r="L47" t="s">
        <v>155</v>
      </c>
      <c r="M47" t="s">
        <v>43</v>
      </c>
      <c r="N47">
        <v>125</v>
      </c>
      <c r="O47">
        <v>75</v>
      </c>
      <c r="P47">
        <v>2500</v>
      </c>
      <c r="Q47" t="s">
        <v>443</v>
      </c>
      <c r="R47">
        <v>50</v>
      </c>
      <c r="S47">
        <v>50</v>
      </c>
      <c r="U47">
        <v>0</v>
      </c>
      <c r="V47">
        <v>0</v>
      </c>
      <c r="W47">
        <v>0</v>
      </c>
      <c r="X47">
        <v>0</v>
      </c>
      <c r="Y47" t="s">
        <v>444</v>
      </c>
      <c r="AC47" s="18">
        <v>46256.01</v>
      </c>
      <c r="AD47" t="s">
        <v>603</v>
      </c>
      <c r="AE47" t="s">
        <v>633</v>
      </c>
      <c r="AF47" t="s">
        <v>249</v>
      </c>
      <c r="AG47" t="s">
        <v>288</v>
      </c>
      <c r="AH47" t="s">
        <v>634</v>
      </c>
      <c r="AL47" s="18">
        <v>46256.01</v>
      </c>
      <c r="AM47" t="s">
        <v>697</v>
      </c>
      <c r="AN47" t="s">
        <v>705</v>
      </c>
      <c r="AO47">
        <v>40</v>
      </c>
      <c r="AP47">
        <v>80</v>
      </c>
      <c r="AQ47">
        <v>40</v>
      </c>
      <c r="AR47">
        <v>170</v>
      </c>
      <c r="AS47">
        <v>-1</v>
      </c>
      <c r="AT47">
        <v>0</v>
      </c>
      <c r="AU47">
        <v>40</v>
      </c>
      <c r="AV47" t="s">
        <v>703</v>
      </c>
      <c r="AY47" t="s">
        <v>700</v>
      </c>
    </row>
    <row r="48" spans="1:51" x14ac:dyDescent="0.25">
      <c r="A48" s="18">
        <v>46256.01</v>
      </c>
      <c r="B48">
        <v>1</v>
      </c>
      <c r="C48" t="s">
        <v>459</v>
      </c>
      <c r="D48">
        <v>-3.0044806113630959E-4</v>
      </c>
      <c r="E48">
        <v>-3.1046299650751989</v>
      </c>
      <c r="F48" t="s">
        <v>268</v>
      </c>
      <c r="J48" s="18">
        <v>46256.01</v>
      </c>
      <c r="K48" t="s">
        <v>459</v>
      </c>
      <c r="L48" t="s">
        <v>155</v>
      </c>
      <c r="M48" t="s">
        <v>43</v>
      </c>
      <c r="N48">
        <v>175</v>
      </c>
      <c r="O48">
        <v>75</v>
      </c>
      <c r="P48">
        <v>2500</v>
      </c>
      <c r="Q48" t="s">
        <v>443</v>
      </c>
      <c r="R48">
        <v>50</v>
      </c>
      <c r="S48">
        <v>50</v>
      </c>
      <c r="U48">
        <v>0</v>
      </c>
      <c r="V48">
        <v>0</v>
      </c>
      <c r="W48">
        <v>0</v>
      </c>
      <c r="X48">
        <v>0</v>
      </c>
      <c r="Y48" t="s">
        <v>444</v>
      </c>
      <c r="AC48" s="18">
        <v>46256.01</v>
      </c>
      <c r="AD48" t="s">
        <v>603</v>
      </c>
      <c r="AE48" t="s">
        <v>635</v>
      </c>
      <c r="AF48" t="s">
        <v>251</v>
      </c>
      <c r="AG48" t="s">
        <v>288</v>
      </c>
      <c r="AH48" t="s">
        <v>636</v>
      </c>
      <c r="AL48" s="18">
        <v>46256.01</v>
      </c>
      <c r="AM48" t="s">
        <v>697</v>
      </c>
      <c r="AN48" t="s">
        <v>706</v>
      </c>
      <c r="AO48">
        <v>560</v>
      </c>
      <c r="AP48">
        <v>170</v>
      </c>
      <c r="AQ48">
        <v>560</v>
      </c>
      <c r="AR48">
        <v>79.999999999999986</v>
      </c>
      <c r="AS48">
        <v>1</v>
      </c>
      <c r="AT48">
        <v>0</v>
      </c>
      <c r="AU48">
        <v>40</v>
      </c>
      <c r="AV48" t="s">
        <v>703</v>
      </c>
      <c r="AY48" t="s">
        <v>700</v>
      </c>
    </row>
    <row r="49" spans="1:51" x14ac:dyDescent="0.25">
      <c r="A49" s="18">
        <v>46256.01</v>
      </c>
      <c r="B49">
        <v>1</v>
      </c>
      <c r="C49" t="s">
        <v>460</v>
      </c>
      <c r="D49">
        <v>-2.8063433102733346E-4</v>
      </c>
      <c r="E49">
        <v>-2.8998880872824455</v>
      </c>
      <c r="F49" t="s">
        <v>268</v>
      </c>
      <c r="J49" s="18">
        <v>46256.01</v>
      </c>
      <c r="K49" t="s">
        <v>460</v>
      </c>
      <c r="L49" t="s">
        <v>155</v>
      </c>
      <c r="M49" t="s">
        <v>43</v>
      </c>
      <c r="N49">
        <v>225</v>
      </c>
      <c r="O49">
        <v>75</v>
      </c>
      <c r="P49">
        <v>2500</v>
      </c>
      <c r="Q49" t="s">
        <v>443</v>
      </c>
      <c r="R49">
        <v>50</v>
      </c>
      <c r="S49">
        <v>50</v>
      </c>
      <c r="U49">
        <v>0</v>
      </c>
      <c r="V49">
        <v>0</v>
      </c>
      <c r="W49">
        <v>0</v>
      </c>
      <c r="X49">
        <v>0</v>
      </c>
      <c r="Y49" t="s">
        <v>444</v>
      </c>
      <c r="AC49" s="18">
        <v>46256.01</v>
      </c>
      <c r="AD49" t="s">
        <v>603</v>
      </c>
      <c r="AE49" t="s">
        <v>637</v>
      </c>
      <c r="AF49" t="s">
        <v>253</v>
      </c>
      <c r="AG49" t="s">
        <v>288</v>
      </c>
      <c r="AH49" t="s">
        <v>638</v>
      </c>
      <c r="AL49" s="18">
        <v>46256.01</v>
      </c>
      <c r="AM49" t="s">
        <v>697</v>
      </c>
      <c r="AN49" t="s">
        <v>707</v>
      </c>
      <c r="AO49">
        <v>80</v>
      </c>
      <c r="AP49">
        <v>210</v>
      </c>
      <c r="AQ49">
        <v>520</v>
      </c>
      <c r="AR49">
        <v>210</v>
      </c>
      <c r="AS49">
        <v>0</v>
      </c>
      <c r="AT49">
        <v>1</v>
      </c>
      <c r="AU49">
        <v>40</v>
      </c>
      <c r="AV49" t="s">
        <v>699</v>
      </c>
      <c r="AY49" t="s">
        <v>700</v>
      </c>
    </row>
    <row r="50" spans="1:51" x14ac:dyDescent="0.25">
      <c r="A50" s="18">
        <v>46256.01</v>
      </c>
      <c r="B50">
        <v>1</v>
      </c>
      <c r="C50" t="s">
        <v>461</v>
      </c>
      <c r="D50">
        <v>-2.6082060091835732E-4</v>
      </c>
      <c r="E50">
        <v>-2.6951462094896921</v>
      </c>
      <c r="F50" t="s">
        <v>268</v>
      </c>
      <c r="J50" s="18">
        <v>46256.01</v>
      </c>
      <c r="K50" t="s">
        <v>461</v>
      </c>
      <c r="L50" t="s">
        <v>155</v>
      </c>
      <c r="M50" t="s">
        <v>43</v>
      </c>
      <c r="N50">
        <v>275</v>
      </c>
      <c r="O50">
        <v>75</v>
      </c>
      <c r="P50">
        <v>2500</v>
      </c>
      <c r="Q50" t="s">
        <v>443</v>
      </c>
      <c r="R50">
        <v>50</v>
      </c>
      <c r="S50">
        <v>50</v>
      </c>
      <c r="U50">
        <v>0</v>
      </c>
      <c r="V50">
        <v>0</v>
      </c>
      <c r="W50">
        <v>0</v>
      </c>
      <c r="X50">
        <v>0</v>
      </c>
      <c r="Y50" t="s">
        <v>444</v>
      </c>
      <c r="AC50" s="18">
        <v>46256.01</v>
      </c>
      <c r="AD50" t="s">
        <v>603</v>
      </c>
      <c r="AE50" t="s">
        <v>639</v>
      </c>
      <c r="AF50" t="s">
        <v>268</v>
      </c>
      <c r="AG50" t="s">
        <v>288</v>
      </c>
      <c r="AH50" t="s">
        <v>640</v>
      </c>
      <c r="AL50" s="18">
        <v>46256.01</v>
      </c>
      <c r="AM50" t="s">
        <v>697</v>
      </c>
      <c r="AN50" t="s">
        <v>708</v>
      </c>
      <c r="AO50">
        <v>520</v>
      </c>
      <c r="AP50">
        <v>40</v>
      </c>
      <c r="AQ50">
        <v>79.999999999999986</v>
      </c>
      <c r="AR50">
        <v>40</v>
      </c>
      <c r="AS50">
        <v>0</v>
      </c>
      <c r="AT50">
        <v>-1</v>
      </c>
      <c r="AU50">
        <v>40</v>
      </c>
      <c r="AV50" t="s">
        <v>699</v>
      </c>
      <c r="AY50" t="s">
        <v>700</v>
      </c>
    </row>
    <row r="51" spans="1:51" x14ac:dyDescent="0.25">
      <c r="A51" s="18">
        <v>46256.01</v>
      </c>
      <c r="B51">
        <v>1</v>
      </c>
      <c r="C51" t="s">
        <v>462</v>
      </c>
      <c r="D51">
        <v>-2.4100687080938114E-4</v>
      </c>
      <c r="E51">
        <v>-2.4904043316969382</v>
      </c>
      <c r="F51" t="s">
        <v>268</v>
      </c>
      <c r="J51" s="18">
        <v>46256.01</v>
      </c>
      <c r="K51" t="s">
        <v>462</v>
      </c>
      <c r="L51" t="s">
        <v>155</v>
      </c>
      <c r="M51" t="s">
        <v>43</v>
      </c>
      <c r="N51">
        <v>325</v>
      </c>
      <c r="O51">
        <v>75</v>
      </c>
      <c r="P51">
        <v>2500</v>
      </c>
      <c r="Q51" t="s">
        <v>443</v>
      </c>
      <c r="R51">
        <v>50</v>
      </c>
      <c r="S51">
        <v>50</v>
      </c>
      <c r="U51">
        <v>0</v>
      </c>
      <c r="V51">
        <v>0</v>
      </c>
      <c r="W51">
        <v>0</v>
      </c>
      <c r="X51">
        <v>0</v>
      </c>
      <c r="Y51" t="s">
        <v>444</v>
      </c>
      <c r="AC51" s="18">
        <v>46256.01</v>
      </c>
      <c r="AD51" t="s">
        <v>603</v>
      </c>
      <c r="AE51" t="s">
        <v>641</v>
      </c>
      <c r="AF51" t="s">
        <v>271</v>
      </c>
      <c r="AG51" t="s">
        <v>288</v>
      </c>
      <c r="AH51" t="s">
        <v>642</v>
      </c>
    </row>
    <row r="52" spans="1:51" x14ac:dyDescent="0.25">
      <c r="A52" s="18">
        <v>46256.01</v>
      </c>
      <c r="B52">
        <v>1</v>
      </c>
      <c r="C52" t="s">
        <v>463</v>
      </c>
      <c r="D52">
        <v>-2.21193140700405E-4</v>
      </c>
      <c r="E52">
        <v>-2.2856624539041848</v>
      </c>
      <c r="F52" t="s">
        <v>268</v>
      </c>
      <c r="J52" s="18">
        <v>46256.01</v>
      </c>
      <c r="K52" t="s">
        <v>463</v>
      </c>
      <c r="L52" t="s">
        <v>155</v>
      </c>
      <c r="M52" t="s">
        <v>43</v>
      </c>
      <c r="N52">
        <v>375</v>
      </c>
      <c r="O52">
        <v>75</v>
      </c>
      <c r="P52">
        <v>2500</v>
      </c>
      <c r="Q52" t="s">
        <v>443</v>
      </c>
      <c r="R52">
        <v>50</v>
      </c>
      <c r="S52">
        <v>50</v>
      </c>
      <c r="U52">
        <v>0</v>
      </c>
      <c r="V52">
        <v>0</v>
      </c>
      <c r="W52">
        <v>0</v>
      </c>
      <c r="X52">
        <v>0</v>
      </c>
      <c r="Y52" t="s">
        <v>444</v>
      </c>
      <c r="AC52" s="18">
        <v>46256.01</v>
      </c>
      <c r="AD52" t="s">
        <v>603</v>
      </c>
      <c r="AE52" t="s">
        <v>643</v>
      </c>
      <c r="AF52" t="s">
        <v>273</v>
      </c>
      <c r="AG52" t="s">
        <v>288</v>
      </c>
      <c r="AH52" t="s">
        <v>644</v>
      </c>
    </row>
    <row r="53" spans="1:51" x14ac:dyDescent="0.25">
      <c r="A53" s="18">
        <v>46256.01</v>
      </c>
      <c r="B53">
        <v>1</v>
      </c>
      <c r="C53" t="s">
        <v>464</v>
      </c>
      <c r="D53">
        <v>-2.0137941059142884E-4</v>
      </c>
      <c r="E53">
        <v>-2.0809205761114313</v>
      </c>
      <c r="F53" t="s">
        <v>268</v>
      </c>
      <c r="J53" s="18">
        <v>46256.01</v>
      </c>
      <c r="K53" t="s">
        <v>464</v>
      </c>
      <c r="L53" t="s">
        <v>155</v>
      </c>
      <c r="M53" t="s">
        <v>43</v>
      </c>
      <c r="N53">
        <v>425</v>
      </c>
      <c r="O53">
        <v>75</v>
      </c>
      <c r="P53">
        <v>2500</v>
      </c>
      <c r="Q53" t="s">
        <v>443</v>
      </c>
      <c r="R53">
        <v>50</v>
      </c>
      <c r="S53">
        <v>50</v>
      </c>
      <c r="U53">
        <v>0</v>
      </c>
      <c r="V53">
        <v>0</v>
      </c>
      <c r="W53">
        <v>0</v>
      </c>
      <c r="X53">
        <v>0</v>
      </c>
      <c r="Y53" t="s">
        <v>444</v>
      </c>
      <c r="AC53" s="18">
        <v>46256.01</v>
      </c>
      <c r="AD53">
        <v>1</v>
      </c>
      <c r="AE53" t="s">
        <v>645</v>
      </c>
      <c r="AF53">
        <v>-4.1724526403395915E-4</v>
      </c>
      <c r="AG53" t="s">
        <v>288</v>
      </c>
      <c r="AH53" t="s">
        <v>646</v>
      </c>
    </row>
    <row r="54" spans="1:51" x14ac:dyDescent="0.25">
      <c r="A54" s="18">
        <v>46256.01</v>
      </c>
      <c r="B54">
        <v>1</v>
      </c>
      <c r="C54" t="s">
        <v>465</v>
      </c>
      <c r="D54">
        <v>-1.8156568048245268E-4</v>
      </c>
      <c r="E54">
        <v>-1.8761786983186777</v>
      </c>
      <c r="F54" t="s">
        <v>268</v>
      </c>
      <c r="J54" s="18">
        <v>46256.01</v>
      </c>
      <c r="K54" t="s">
        <v>465</v>
      </c>
      <c r="L54" t="s">
        <v>155</v>
      </c>
      <c r="M54" t="s">
        <v>43</v>
      </c>
      <c r="N54">
        <v>475</v>
      </c>
      <c r="O54">
        <v>75</v>
      </c>
      <c r="P54">
        <v>2500</v>
      </c>
      <c r="Q54" t="s">
        <v>443</v>
      </c>
      <c r="R54">
        <v>50</v>
      </c>
      <c r="S54">
        <v>50</v>
      </c>
      <c r="U54">
        <v>0</v>
      </c>
      <c r="V54">
        <v>0</v>
      </c>
      <c r="W54">
        <v>0</v>
      </c>
      <c r="X54">
        <v>0</v>
      </c>
      <c r="Y54" t="s">
        <v>444</v>
      </c>
      <c r="AC54" s="18">
        <v>46256.01</v>
      </c>
      <c r="AD54">
        <v>1</v>
      </c>
      <c r="AE54" t="s">
        <v>647</v>
      </c>
      <c r="AF54">
        <v>6.3265530021643995E-7</v>
      </c>
      <c r="AG54" t="s">
        <v>253</v>
      </c>
      <c r="AH54" t="s">
        <v>648</v>
      </c>
    </row>
    <row r="55" spans="1:51" x14ac:dyDescent="0.25">
      <c r="A55" s="18">
        <v>46256.01</v>
      </c>
      <c r="B55">
        <v>1</v>
      </c>
      <c r="C55" t="s">
        <v>466</v>
      </c>
      <c r="D55">
        <v>-1.6175195037347652E-4</v>
      </c>
      <c r="E55">
        <v>-1.671436820525924</v>
      </c>
      <c r="F55" t="s">
        <v>268</v>
      </c>
      <c r="J55" s="18">
        <v>46256.01</v>
      </c>
      <c r="K55" t="s">
        <v>466</v>
      </c>
      <c r="L55" t="s">
        <v>155</v>
      </c>
      <c r="M55" t="s">
        <v>43</v>
      </c>
      <c r="N55">
        <v>525</v>
      </c>
      <c r="O55">
        <v>75</v>
      </c>
      <c r="P55">
        <v>2500</v>
      </c>
      <c r="Q55" t="s">
        <v>443</v>
      </c>
      <c r="R55">
        <v>50</v>
      </c>
      <c r="S55">
        <v>50</v>
      </c>
      <c r="U55">
        <v>0</v>
      </c>
      <c r="V55">
        <v>0</v>
      </c>
      <c r="W55">
        <v>0</v>
      </c>
      <c r="X55">
        <v>0</v>
      </c>
      <c r="Y55" t="s">
        <v>444</v>
      </c>
      <c r="AC55" s="18">
        <v>46256.01</v>
      </c>
      <c r="AD55">
        <v>1</v>
      </c>
      <c r="AE55" t="s">
        <v>649</v>
      </c>
      <c r="AF55">
        <v>3.9627460217952308E-7</v>
      </c>
      <c r="AG55" t="s">
        <v>253</v>
      </c>
      <c r="AH55" t="s">
        <v>650</v>
      </c>
    </row>
    <row r="56" spans="1:51" x14ac:dyDescent="0.25">
      <c r="A56" s="18">
        <v>46256.01</v>
      </c>
      <c r="B56">
        <v>1</v>
      </c>
      <c r="C56" t="s">
        <v>467</v>
      </c>
      <c r="D56">
        <v>-1.4193822026450039E-4</v>
      </c>
      <c r="E56">
        <v>-1.4666949427331706</v>
      </c>
      <c r="F56" t="s">
        <v>268</v>
      </c>
      <c r="J56" s="18">
        <v>46256.01</v>
      </c>
      <c r="K56" t="s">
        <v>467</v>
      </c>
      <c r="L56" t="s">
        <v>155</v>
      </c>
      <c r="M56" t="s">
        <v>43</v>
      </c>
      <c r="N56">
        <v>575</v>
      </c>
      <c r="O56">
        <v>75</v>
      </c>
      <c r="P56">
        <v>2500</v>
      </c>
      <c r="Q56" t="s">
        <v>443</v>
      </c>
      <c r="R56">
        <v>50</v>
      </c>
      <c r="S56">
        <v>50</v>
      </c>
      <c r="U56">
        <v>0</v>
      </c>
      <c r="V56">
        <v>0</v>
      </c>
      <c r="W56">
        <v>0</v>
      </c>
      <c r="X56">
        <v>0</v>
      </c>
      <c r="Y56" t="s">
        <v>444</v>
      </c>
      <c r="AC56" s="18">
        <v>46256.01</v>
      </c>
      <c r="AD56">
        <v>1</v>
      </c>
      <c r="AE56" t="s">
        <v>651</v>
      </c>
      <c r="AF56">
        <v>211.35368808413972</v>
      </c>
      <c r="AG56" t="s">
        <v>243</v>
      </c>
      <c r="AH56" t="s">
        <v>652</v>
      </c>
    </row>
    <row r="57" spans="1:51" x14ac:dyDescent="0.25">
      <c r="A57" s="18">
        <v>46256.01</v>
      </c>
      <c r="B57">
        <v>1</v>
      </c>
      <c r="C57" t="s">
        <v>468</v>
      </c>
      <c r="D57">
        <v>-3.2825648645241608E-4</v>
      </c>
      <c r="E57">
        <v>-3.3919836933416327</v>
      </c>
      <c r="F57" t="s">
        <v>268</v>
      </c>
      <c r="J57" s="18">
        <v>46256.01</v>
      </c>
      <c r="K57" t="s">
        <v>468</v>
      </c>
      <c r="L57" t="s">
        <v>155</v>
      </c>
      <c r="M57" t="s">
        <v>43</v>
      </c>
      <c r="N57">
        <v>25</v>
      </c>
      <c r="O57">
        <v>125</v>
      </c>
      <c r="P57">
        <v>2500</v>
      </c>
      <c r="Q57" t="s">
        <v>443</v>
      </c>
      <c r="R57">
        <v>50</v>
      </c>
      <c r="S57">
        <v>50</v>
      </c>
      <c r="U57">
        <v>0</v>
      </c>
      <c r="V57">
        <v>0</v>
      </c>
      <c r="W57">
        <v>0</v>
      </c>
      <c r="X57">
        <v>0</v>
      </c>
      <c r="Y57" t="s">
        <v>444</v>
      </c>
      <c r="AC57" s="18">
        <v>46256.01</v>
      </c>
      <c r="AD57">
        <v>1</v>
      </c>
      <c r="AE57" t="s">
        <v>653</v>
      </c>
      <c r="AF57">
        <v>324.22540341320268</v>
      </c>
      <c r="AG57" t="s">
        <v>243</v>
      </c>
      <c r="AH57" t="s">
        <v>654</v>
      </c>
    </row>
    <row r="58" spans="1:51" x14ac:dyDescent="0.25">
      <c r="A58" s="18">
        <v>46256.01</v>
      </c>
      <c r="B58">
        <v>1</v>
      </c>
      <c r="C58" t="s">
        <v>469</v>
      </c>
      <c r="D58">
        <v>-3.0844275634343994E-4</v>
      </c>
      <c r="E58">
        <v>-3.1872418155488793</v>
      </c>
      <c r="F58" t="s">
        <v>268</v>
      </c>
      <c r="J58" s="18">
        <v>46256.01</v>
      </c>
      <c r="K58" t="s">
        <v>469</v>
      </c>
      <c r="L58" t="s">
        <v>155</v>
      </c>
      <c r="M58" t="s">
        <v>43</v>
      </c>
      <c r="N58">
        <v>75</v>
      </c>
      <c r="O58">
        <v>125</v>
      </c>
      <c r="P58">
        <v>2500</v>
      </c>
      <c r="Q58" t="s">
        <v>443</v>
      </c>
      <c r="R58">
        <v>50</v>
      </c>
      <c r="S58">
        <v>50</v>
      </c>
      <c r="U58">
        <v>0</v>
      </c>
      <c r="V58">
        <v>0</v>
      </c>
      <c r="W58">
        <v>0</v>
      </c>
      <c r="X58">
        <v>0</v>
      </c>
      <c r="Y58" t="s">
        <v>444</v>
      </c>
      <c r="AC58" s="18">
        <v>46256.01</v>
      </c>
      <c r="AD58">
        <v>1</v>
      </c>
      <c r="AE58" t="s">
        <v>2</v>
      </c>
      <c r="AF58">
        <v>100</v>
      </c>
      <c r="AG58" t="s">
        <v>247</v>
      </c>
      <c r="AH58" t="s">
        <v>655</v>
      </c>
    </row>
    <row r="59" spans="1:51" x14ac:dyDescent="0.25">
      <c r="A59" s="18">
        <v>46256.01</v>
      </c>
      <c r="B59">
        <v>1</v>
      </c>
      <c r="C59" t="s">
        <v>470</v>
      </c>
      <c r="D59">
        <v>-2.8862902623446376E-4</v>
      </c>
      <c r="E59">
        <v>-2.9824999377561254</v>
      </c>
      <c r="F59" t="s">
        <v>268</v>
      </c>
      <c r="J59" s="18">
        <v>46256.01</v>
      </c>
      <c r="K59" t="s">
        <v>470</v>
      </c>
      <c r="L59" t="s">
        <v>155</v>
      </c>
      <c r="M59" t="s">
        <v>43</v>
      </c>
      <c r="N59">
        <v>125</v>
      </c>
      <c r="O59">
        <v>125</v>
      </c>
      <c r="P59">
        <v>2500</v>
      </c>
      <c r="Q59" t="s">
        <v>443</v>
      </c>
      <c r="R59">
        <v>50</v>
      </c>
      <c r="S59">
        <v>50</v>
      </c>
      <c r="U59">
        <v>0</v>
      </c>
      <c r="V59">
        <v>0</v>
      </c>
      <c r="W59">
        <v>0</v>
      </c>
      <c r="X59">
        <v>0</v>
      </c>
      <c r="Y59" t="s">
        <v>444</v>
      </c>
      <c r="AC59" s="18">
        <v>46256.01</v>
      </c>
      <c r="AD59">
        <v>1</v>
      </c>
      <c r="AE59" t="s">
        <v>656</v>
      </c>
      <c r="AF59">
        <v>20</v>
      </c>
      <c r="AG59" t="s">
        <v>249</v>
      </c>
      <c r="AH59" t="s">
        <v>657</v>
      </c>
    </row>
    <row r="60" spans="1:51" x14ac:dyDescent="0.25">
      <c r="A60" s="18">
        <v>46256.01</v>
      </c>
      <c r="B60">
        <v>1</v>
      </c>
      <c r="C60" t="s">
        <v>471</v>
      </c>
      <c r="D60">
        <v>-2.6881529612548762E-4</v>
      </c>
      <c r="E60">
        <v>-2.777758059963372</v>
      </c>
      <c r="F60" t="s">
        <v>268</v>
      </c>
      <c r="J60" s="18">
        <v>46256.01</v>
      </c>
      <c r="K60" t="s">
        <v>471</v>
      </c>
      <c r="L60" t="s">
        <v>155</v>
      </c>
      <c r="M60" t="s">
        <v>43</v>
      </c>
      <c r="N60">
        <v>175</v>
      </c>
      <c r="O60">
        <v>125</v>
      </c>
      <c r="P60">
        <v>2500</v>
      </c>
      <c r="Q60" t="s">
        <v>443</v>
      </c>
      <c r="R60">
        <v>50</v>
      </c>
      <c r="S60">
        <v>50</v>
      </c>
      <c r="U60">
        <v>0</v>
      </c>
      <c r="V60">
        <v>0</v>
      </c>
      <c r="W60">
        <v>0</v>
      </c>
      <c r="X60">
        <v>0</v>
      </c>
      <c r="Y60" t="s">
        <v>444</v>
      </c>
      <c r="AC60" s="18">
        <v>46256.01</v>
      </c>
      <c r="AD60">
        <v>1</v>
      </c>
      <c r="AE60" t="s">
        <v>658</v>
      </c>
      <c r="AF60">
        <v>0</v>
      </c>
      <c r="AG60" t="s">
        <v>249</v>
      </c>
      <c r="AH60" t="s">
        <v>659</v>
      </c>
    </row>
    <row r="61" spans="1:51" x14ac:dyDescent="0.25">
      <c r="A61" s="18">
        <v>46256.01</v>
      </c>
      <c r="B61">
        <v>1</v>
      </c>
      <c r="C61" t="s">
        <v>472</v>
      </c>
      <c r="D61">
        <v>-2.4900156601651144E-4</v>
      </c>
      <c r="E61">
        <v>-2.5730161821706181</v>
      </c>
      <c r="F61" t="s">
        <v>268</v>
      </c>
      <c r="J61" s="18">
        <v>46256.01</v>
      </c>
      <c r="K61" t="s">
        <v>472</v>
      </c>
      <c r="L61" t="s">
        <v>155</v>
      </c>
      <c r="M61" t="s">
        <v>43</v>
      </c>
      <c r="N61">
        <v>225</v>
      </c>
      <c r="O61">
        <v>125</v>
      </c>
      <c r="P61">
        <v>2500</v>
      </c>
      <c r="Q61" t="s">
        <v>443</v>
      </c>
      <c r="R61">
        <v>50</v>
      </c>
      <c r="S61">
        <v>50</v>
      </c>
      <c r="U61">
        <v>0</v>
      </c>
      <c r="V61">
        <v>0</v>
      </c>
      <c r="W61">
        <v>0</v>
      </c>
      <c r="X61">
        <v>0</v>
      </c>
      <c r="Y61" t="s">
        <v>444</v>
      </c>
      <c r="AC61" s="18">
        <v>46256.01</v>
      </c>
      <c r="AD61">
        <v>1</v>
      </c>
      <c r="AE61" t="s">
        <v>660</v>
      </c>
      <c r="AF61">
        <v>-12.42254034132027</v>
      </c>
      <c r="AG61" t="s">
        <v>249</v>
      </c>
      <c r="AH61" t="s">
        <v>661</v>
      </c>
    </row>
    <row r="62" spans="1:51" x14ac:dyDescent="0.25">
      <c r="A62" s="18">
        <v>46256.01</v>
      </c>
      <c r="B62">
        <v>1</v>
      </c>
      <c r="C62" t="s">
        <v>473</v>
      </c>
      <c r="D62">
        <v>-2.291878359075353E-4</v>
      </c>
      <c r="E62">
        <v>-2.3682743043778647</v>
      </c>
      <c r="F62" t="s">
        <v>268</v>
      </c>
      <c r="J62" s="18">
        <v>46256.01</v>
      </c>
      <c r="K62" t="s">
        <v>473</v>
      </c>
      <c r="L62" t="s">
        <v>155</v>
      </c>
      <c r="M62" t="s">
        <v>43</v>
      </c>
      <c r="N62">
        <v>275</v>
      </c>
      <c r="O62">
        <v>125</v>
      </c>
      <c r="P62">
        <v>2500</v>
      </c>
      <c r="Q62" t="s">
        <v>443</v>
      </c>
      <c r="R62">
        <v>50</v>
      </c>
      <c r="S62">
        <v>50</v>
      </c>
      <c r="U62">
        <v>0</v>
      </c>
      <c r="V62">
        <v>0</v>
      </c>
      <c r="W62">
        <v>0</v>
      </c>
      <c r="X62">
        <v>0</v>
      </c>
      <c r="Y62" t="s">
        <v>444</v>
      </c>
      <c r="AC62" s="18">
        <v>46256.01</v>
      </c>
      <c r="AD62">
        <v>1</v>
      </c>
      <c r="AE62" t="s">
        <v>662</v>
      </c>
      <c r="AF62">
        <v>-21.135368808413972</v>
      </c>
      <c r="AG62" t="s">
        <v>249</v>
      </c>
      <c r="AH62" t="s">
        <v>663</v>
      </c>
    </row>
    <row r="63" spans="1:51" x14ac:dyDescent="0.25">
      <c r="A63" s="18">
        <v>46256.01</v>
      </c>
      <c r="B63">
        <v>1</v>
      </c>
      <c r="C63" t="s">
        <v>474</v>
      </c>
      <c r="D63">
        <v>-2.0937410579855914E-4</v>
      </c>
      <c r="E63">
        <v>-2.1635324265851112</v>
      </c>
      <c r="F63" t="s">
        <v>268</v>
      </c>
      <c r="J63" s="18">
        <v>46256.01</v>
      </c>
      <c r="K63" t="s">
        <v>474</v>
      </c>
      <c r="L63" t="s">
        <v>155</v>
      </c>
      <c r="M63" t="s">
        <v>43</v>
      </c>
      <c r="N63">
        <v>325</v>
      </c>
      <c r="O63">
        <v>125</v>
      </c>
      <c r="P63">
        <v>2500</v>
      </c>
      <c r="Q63" t="s">
        <v>443</v>
      </c>
      <c r="R63">
        <v>50</v>
      </c>
      <c r="S63">
        <v>50</v>
      </c>
      <c r="U63">
        <v>0</v>
      </c>
      <c r="V63">
        <v>0</v>
      </c>
      <c r="W63">
        <v>0</v>
      </c>
      <c r="X63">
        <v>0</v>
      </c>
      <c r="Y63" t="s">
        <v>444</v>
      </c>
      <c r="AC63" s="18">
        <v>46256.01</v>
      </c>
      <c r="AD63">
        <v>1</v>
      </c>
      <c r="AE63" t="s">
        <v>664</v>
      </c>
      <c r="AF63">
        <v>100.03146749764021</v>
      </c>
      <c r="AG63" t="s">
        <v>247</v>
      </c>
      <c r="AH63" t="s">
        <v>665</v>
      </c>
    </row>
    <row r="64" spans="1:51" x14ac:dyDescent="0.25">
      <c r="A64" s="18">
        <v>46256.01</v>
      </c>
      <c r="B64">
        <v>1</v>
      </c>
      <c r="C64" t="s">
        <v>475</v>
      </c>
      <c r="D64">
        <v>-1.8956037568958301E-4</v>
      </c>
      <c r="E64">
        <v>-1.9587905487923578</v>
      </c>
      <c r="F64" t="s">
        <v>268</v>
      </c>
      <c r="J64" s="18">
        <v>46256.01</v>
      </c>
      <c r="K64" t="s">
        <v>475</v>
      </c>
      <c r="L64" t="s">
        <v>155</v>
      </c>
      <c r="M64" t="s">
        <v>43</v>
      </c>
      <c r="N64">
        <v>375</v>
      </c>
      <c r="O64">
        <v>125</v>
      </c>
      <c r="P64">
        <v>2500</v>
      </c>
      <c r="Q64" t="s">
        <v>443</v>
      </c>
      <c r="R64">
        <v>50</v>
      </c>
      <c r="S64">
        <v>50</v>
      </c>
      <c r="U64">
        <v>0</v>
      </c>
      <c r="V64">
        <v>0</v>
      </c>
      <c r="W64">
        <v>0</v>
      </c>
      <c r="X64">
        <v>0</v>
      </c>
      <c r="Y64" t="s">
        <v>444</v>
      </c>
      <c r="AC64" s="18">
        <v>46256.01</v>
      </c>
      <c r="AD64">
        <v>1</v>
      </c>
      <c r="AE64" t="s">
        <v>411</v>
      </c>
      <c r="AF64" t="s">
        <v>423</v>
      </c>
      <c r="AG64" t="s">
        <v>288</v>
      </c>
      <c r="AH64" t="s">
        <v>666</v>
      </c>
    </row>
    <row r="65" spans="1:25" x14ac:dyDescent="0.25">
      <c r="A65" s="18">
        <v>46256.01</v>
      </c>
      <c r="B65">
        <v>1</v>
      </c>
      <c r="C65" t="s">
        <v>476</v>
      </c>
      <c r="D65">
        <v>-1.6974664558060685E-4</v>
      </c>
      <c r="E65">
        <v>-1.7540486709996042</v>
      </c>
      <c r="F65" t="s">
        <v>268</v>
      </c>
      <c r="J65" s="18">
        <v>46256.01</v>
      </c>
      <c r="K65" t="s">
        <v>476</v>
      </c>
      <c r="L65" t="s">
        <v>155</v>
      </c>
      <c r="M65" t="s">
        <v>43</v>
      </c>
      <c r="N65">
        <v>425</v>
      </c>
      <c r="O65">
        <v>125</v>
      </c>
      <c r="P65">
        <v>2500</v>
      </c>
      <c r="Q65" t="s">
        <v>443</v>
      </c>
      <c r="R65">
        <v>50</v>
      </c>
      <c r="S65">
        <v>50</v>
      </c>
      <c r="U65">
        <v>0</v>
      </c>
      <c r="V65">
        <v>0</v>
      </c>
      <c r="W65">
        <v>0</v>
      </c>
      <c r="X65">
        <v>0</v>
      </c>
      <c r="Y65" t="s">
        <v>444</v>
      </c>
    </row>
    <row r="66" spans="1:25" x14ac:dyDescent="0.25">
      <c r="A66" s="18">
        <v>46256.01</v>
      </c>
      <c r="B66">
        <v>1</v>
      </c>
      <c r="C66" t="s">
        <v>477</v>
      </c>
      <c r="D66">
        <v>-1.4993291547163069E-4</v>
      </c>
      <c r="E66">
        <v>-1.5493067932068505</v>
      </c>
      <c r="F66" t="s">
        <v>268</v>
      </c>
      <c r="J66" s="18">
        <v>46256.01</v>
      </c>
      <c r="K66" t="s">
        <v>477</v>
      </c>
      <c r="L66" t="s">
        <v>155</v>
      </c>
      <c r="M66" t="s">
        <v>43</v>
      </c>
      <c r="N66">
        <v>475</v>
      </c>
      <c r="O66">
        <v>125</v>
      </c>
      <c r="P66">
        <v>2500</v>
      </c>
      <c r="Q66" t="s">
        <v>443</v>
      </c>
      <c r="R66">
        <v>50</v>
      </c>
      <c r="S66">
        <v>50</v>
      </c>
      <c r="U66">
        <v>0</v>
      </c>
      <c r="V66">
        <v>0</v>
      </c>
      <c r="W66">
        <v>0</v>
      </c>
      <c r="X66">
        <v>0</v>
      </c>
      <c r="Y66" t="s">
        <v>444</v>
      </c>
    </row>
    <row r="67" spans="1:25" x14ac:dyDescent="0.25">
      <c r="A67" s="18">
        <v>46256.01</v>
      </c>
      <c r="B67">
        <v>1</v>
      </c>
      <c r="C67" t="s">
        <v>478</v>
      </c>
      <c r="D67">
        <v>-1.3011918536265453E-4</v>
      </c>
      <c r="E67">
        <v>-1.3445649154140968</v>
      </c>
      <c r="F67" t="s">
        <v>268</v>
      </c>
      <c r="J67" s="18">
        <v>46256.01</v>
      </c>
      <c r="K67" t="s">
        <v>478</v>
      </c>
      <c r="L67" t="s">
        <v>155</v>
      </c>
      <c r="M67" t="s">
        <v>43</v>
      </c>
      <c r="N67">
        <v>525</v>
      </c>
      <c r="O67">
        <v>125</v>
      </c>
      <c r="P67">
        <v>2500</v>
      </c>
      <c r="Q67" t="s">
        <v>443</v>
      </c>
      <c r="R67">
        <v>50</v>
      </c>
      <c r="S67">
        <v>50</v>
      </c>
      <c r="U67">
        <v>0</v>
      </c>
      <c r="V67">
        <v>0</v>
      </c>
      <c r="W67">
        <v>0</v>
      </c>
      <c r="X67">
        <v>0</v>
      </c>
      <c r="Y67" t="s">
        <v>444</v>
      </c>
    </row>
    <row r="68" spans="1:25" x14ac:dyDescent="0.25">
      <c r="A68" s="18">
        <v>46256.01</v>
      </c>
      <c r="B68">
        <v>1</v>
      </c>
      <c r="C68" t="s">
        <v>479</v>
      </c>
      <c r="D68">
        <v>-1.1030545525367838E-4</v>
      </c>
      <c r="E68">
        <v>-1.1398230376213432</v>
      </c>
      <c r="F68" t="s">
        <v>268</v>
      </c>
      <c r="J68" s="18">
        <v>46256.01</v>
      </c>
      <c r="K68" t="s">
        <v>479</v>
      </c>
      <c r="L68" t="s">
        <v>155</v>
      </c>
      <c r="M68" t="s">
        <v>43</v>
      </c>
      <c r="N68">
        <v>575</v>
      </c>
      <c r="O68">
        <v>125</v>
      </c>
      <c r="P68">
        <v>2500</v>
      </c>
      <c r="Q68" t="s">
        <v>443</v>
      </c>
      <c r="R68">
        <v>50</v>
      </c>
      <c r="S68">
        <v>50</v>
      </c>
      <c r="U68">
        <v>0</v>
      </c>
      <c r="V68">
        <v>0</v>
      </c>
      <c r="W68">
        <v>0</v>
      </c>
      <c r="X68">
        <v>0</v>
      </c>
      <c r="Y68" t="s">
        <v>444</v>
      </c>
    </row>
    <row r="69" spans="1:25" x14ac:dyDescent="0.25">
      <c r="A69" s="18">
        <v>46256.01</v>
      </c>
      <c r="B69">
        <v>1</v>
      </c>
      <c r="C69" t="s">
        <v>480</v>
      </c>
      <c r="D69">
        <v>-2.9662372144159406E-4</v>
      </c>
      <c r="E69">
        <v>-3.0651117882298053</v>
      </c>
      <c r="F69" t="s">
        <v>268</v>
      </c>
      <c r="J69" s="18">
        <v>46256.01</v>
      </c>
      <c r="K69" t="s">
        <v>480</v>
      </c>
      <c r="L69" t="s">
        <v>155</v>
      </c>
      <c r="M69" t="s">
        <v>43</v>
      </c>
      <c r="N69">
        <v>25</v>
      </c>
      <c r="O69">
        <v>175</v>
      </c>
      <c r="P69">
        <v>2500</v>
      </c>
      <c r="Q69" t="s">
        <v>443</v>
      </c>
      <c r="R69">
        <v>50</v>
      </c>
      <c r="S69">
        <v>50</v>
      </c>
      <c r="U69">
        <v>0</v>
      </c>
      <c r="V69">
        <v>0</v>
      </c>
      <c r="W69">
        <v>0</v>
      </c>
      <c r="X69">
        <v>0</v>
      </c>
      <c r="Y69" t="s">
        <v>444</v>
      </c>
    </row>
    <row r="70" spans="1:25" x14ac:dyDescent="0.25">
      <c r="A70" s="18">
        <v>46256.01</v>
      </c>
      <c r="B70">
        <v>1</v>
      </c>
      <c r="C70" t="s">
        <v>481</v>
      </c>
      <c r="D70">
        <v>-2.7680999133261792E-4</v>
      </c>
      <c r="E70">
        <v>-2.8603699104370519</v>
      </c>
      <c r="F70" t="s">
        <v>268</v>
      </c>
      <c r="J70" s="18">
        <v>46256.01</v>
      </c>
      <c r="K70" t="s">
        <v>481</v>
      </c>
      <c r="L70" t="s">
        <v>155</v>
      </c>
      <c r="M70" t="s">
        <v>43</v>
      </c>
      <c r="N70">
        <v>75</v>
      </c>
      <c r="O70">
        <v>175</v>
      </c>
      <c r="P70">
        <v>2500</v>
      </c>
      <c r="Q70" t="s">
        <v>443</v>
      </c>
      <c r="R70">
        <v>50</v>
      </c>
      <c r="S70">
        <v>50</v>
      </c>
      <c r="U70">
        <v>0</v>
      </c>
      <c r="V70">
        <v>0</v>
      </c>
      <c r="W70">
        <v>0</v>
      </c>
      <c r="X70">
        <v>0</v>
      </c>
      <c r="Y70" t="s">
        <v>444</v>
      </c>
    </row>
    <row r="71" spans="1:25" x14ac:dyDescent="0.25">
      <c r="A71" s="18">
        <v>46256.01</v>
      </c>
      <c r="B71">
        <v>1</v>
      </c>
      <c r="C71" t="s">
        <v>482</v>
      </c>
      <c r="D71">
        <v>-2.5699626122364179E-4</v>
      </c>
      <c r="E71">
        <v>-2.6556280326442985</v>
      </c>
      <c r="F71" t="s">
        <v>268</v>
      </c>
      <c r="J71" s="18">
        <v>46256.01</v>
      </c>
      <c r="K71" t="s">
        <v>482</v>
      </c>
      <c r="L71" t="s">
        <v>155</v>
      </c>
      <c r="M71" t="s">
        <v>43</v>
      </c>
      <c r="N71">
        <v>125</v>
      </c>
      <c r="O71">
        <v>175</v>
      </c>
      <c r="P71">
        <v>2500</v>
      </c>
      <c r="Q71" t="s">
        <v>443</v>
      </c>
      <c r="R71">
        <v>50</v>
      </c>
      <c r="S71">
        <v>50</v>
      </c>
      <c r="U71">
        <v>0</v>
      </c>
      <c r="V71">
        <v>0</v>
      </c>
      <c r="W71">
        <v>0</v>
      </c>
      <c r="X71">
        <v>0</v>
      </c>
      <c r="Y71" t="s">
        <v>444</v>
      </c>
    </row>
    <row r="72" spans="1:25" x14ac:dyDescent="0.25">
      <c r="A72" s="18">
        <v>46256.01</v>
      </c>
      <c r="B72">
        <v>1</v>
      </c>
      <c r="C72" t="s">
        <v>483</v>
      </c>
      <c r="D72">
        <v>-2.3718253111466563E-4</v>
      </c>
      <c r="E72">
        <v>-2.4508861548515446</v>
      </c>
      <c r="F72" t="s">
        <v>268</v>
      </c>
      <c r="J72" s="18">
        <v>46256.01</v>
      </c>
      <c r="K72" t="s">
        <v>483</v>
      </c>
      <c r="L72" t="s">
        <v>155</v>
      </c>
      <c r="M72" t="s">
        <v>43</v>
      </c>
      <c r="N72">
        <v>175</v>
      </c>
      <c r="O72">
        <v>175</v>
      </c>
      <c r="P72">
        <v>2500</v>
      </c>
      <c r="Q72" t="s">
        <v>443</v>
      </c>
      <c r="R72">
        <v>50</v>
      </c>
      <c r="S72">
        <v>50</v>
      </c>
      <c r="U72">
        <v>0</v>
      </c>
      <c r="V72">
        <v>0</v>
      </c>
      <c r="W72">
        <v>0</v>
      </c>
      <c r="X72">
        <v>0</v>
      </c>
      <c r="Y72" t="s">
        <v>444</v>
      </c>
    </row>
    <row r="73" spans="1:25" x14ac:dyDescent="0.25">
      <c r="A73" s="18">
        <v>46256.01</v>
      </c>
      <c r="B73">
        <v>1</v>
      </c>
      <c r="C73" t="s">
        <v>484</v>
      </c>
      <c r="D73">
        <v>-2.1736880100568947E-4</v>
      </c>
      <c r="E73">
        <v>-2.2461442770587912</v>
      </c>
      <c r="F73" t="s">
        <v>268</v>
      </c>
      <c r="J73" s="18">
        <v>46256.01</v>
      </c>
      <c r="K73" t="s">
        <v>484</v>
      </c>
      <c r="L73" t="s">
        <v>155</v>
      </c>
      <c r="M73" t="s">
        <v>43</v>
      </c>
      <c r="N73">
        <v>225</v>
      </c>
      <c r="O73">
        <v>175</v>
      </c>
      <c r="P73">
        <v>2500</v>
      </c>
      <c r="Q73" t="s">
        <v>443</v>
      </c>
      <c r="R73">
        <v>50</v>
      </c>
      <c r="S73">
        <v>50</v>
      </c>
      <c r="U73">
        <v>0</v>
      </c>
      <c r="V73">
        <v>0</v>
      </c>
      <c r="W73">
        <v>0</v>
      </c>
      <c r="X73">
        <v>0</v>
      </c>
      <c r="Y73" t="s">
        <v>444</v>
      </c>
    </row>
    <row r="74" spans="1:25" x14ac:dyDescent="0.25">
      <c r="A74" s="18">
        <v>46256.01</v>
      </c>
      <c r="B74">
        <v>1</v>
      </c>
      <c r="C74" t="s">
        <v>485</v>
      </c>
      <c r="D74">
        <v>-1.9755507089671331E-4</v>
      </c>
      <c r="E74">
        <v>-2.0414023992660373</v>
      </c>
      <c r="F74" t="s">
        <v>268</v>
      </c>
      <c r="J74" s="18">
        <v>46256.01</v>
      </c>
      <c r="K74" t="s">
        <v>485</v>
      </c>
      <c r="L74" t="s">
        <v>155</v>
      </c>
      <c r="M74" t="s">
        <v>43</v>
      </c>
      <c r="N74">
        <v>275</v>
      </c>
      <c r="O74">
        <v>175</v>
      </c>
      <c r="P74">
        <v>2500</v>
      </c>
      <c r="Q74" t="s">
        <v>443</v>
      </c>
      <c r="R74">
        <v>50</v>
      </c>
      <c r="S74">
        <v>50</v>
      </c>
      <c r="U74">
        <v>0</v>
      </c>
      <c r="V74">
        <v>0</v>
      </c>
      <c r="W74">
        <v>0</v>
      </c>
      <c r="X74">
        <v>0</v>
      </c>
      <c r="Y74" t="s">
        <v>444</v>
      </c>
    </row>
    <row r="75" spans="1:25" x14ac:dyDescent="0.25">
      <c r="A75" s="18">
        <v>46256.01</v>
      </c>
      <c r="B75">
        <v>1</v>
      </c>
      <c r="C75" t="s">
        <v>486</v>
      </c>
      <c r="D75">
        <v>-1.7774134078773715E-4</v>
      </c>
      <c r="E75">
        <v>-1.8366605214732838</v>
      </c>
      <c r="F75" t="s">
        <v>268</v>
      </c>
      <c r="J75" s="18">
        <v>46256.01</v>
      </c>
      <c r="K75" t="s">
        <v>486</v>
      </c>
      <c r="L75" t="s">
        <v>155</v>
      </c>
      <c r="M75" t="s">
        <v>43</v>
      </c>
      <c r="N75">
        <v>325</v>
      </c>
      <c r="O75">
        <v>175</v>
      </c>
      <c r="P75">
        <v>2500</v>
      </c>
      <c r="Q75" t="s">
        <v>443</v>
      </c>
      <c r="R75">
        <v>50</v>
      </c>
      <c r="S75">
        <v>50</v>
      </c>
      <c r="U75">
        <v>0</v>
      </c>
      <c r="V75">
        <v>0</v>
      </c>
      <c r="W75">
        <v>0</v>
      </c>
      <c r="X75">
        <v>0</v>
      </c>
      <c r="Y75" t="s">
        <v>444</v>
      </c>
    </row>
    <row r="76" spans="1:25" x14ac:dyDescent="0.25">
      <c r="A76" s="18">
        <v>46256.01</v>
      </c>
      <c r="B76">
        <v>1</v>
      </c>
      <c r="C76" t="s">
        <v>487</v>
      </c>
      <c r="D76">
        <v>-1.5792761067876101E-4</v>
      </c>
      <c r="E76">
        <v>-1.6319186436805304</v>
      </c>
      <c r="F76" t="s">
        <v>268</v>
      </c>
      <c r="J76" s="18">
        <v>46256.01</v>
      </c>
      <c r="K76" t="s">
        <v>487</v>
      </c>
      <c r="L76" t="s">
        <v>155</v>
      </c>
      <c r="M76" t="s">
        <v>43</v>
      </c>
      <c r="N76">
        <v>375</v>
      </c>
      <c r="O76">
        <v>175</v>
      </c>
      <c r="P76">
        <v>2500</v>
      </c>
      <c r="Q76" t="s">
        <v>443</v>
      </c>
      <c r="R76">
        <v>50</v>
      </c>
      <c r="S76">
        <v>50</v>
      </c>
      <c r="U76">
        <v>0</v>
      </c>
      <c r="V76">
        <v>0</v>
      </c>
      <c r="W76">
        <v>0</v>
      </c>
      <c r="X76">
        <v>0</v>
      </c>
      <c r="Y76" t="s">
        <v>444</v>
      </c>
    </row>
    <row r="77" spans="1:25" x14ac:dyDescent="0.25">
      <c r="A77" s="18">
        <v>46256.01</v>
      </c>
      <c r="B77">
        <v>1</v>
      </c>
      <c r="C77" t="s">
        <v>488</v>
      </c>
      <c r="D77">
        <v>-1.3811388056978485E-4</v>
      </c>
      <c r="E77">
        <v>-1.4271767658877768</v>
      </c>
      <c r="F77" t="s">
        <v>268</v>
      </c>
      <c r="J77" s="18">
        <v>46256.01</v>
      </c>
      <c r="K77" t="s">
        <v>488</v>
      </c>
      <c r="L77" t="s">
        <v>155</v>
      </c>
      <c r="M77" t="s">
        <v>43</v>
      </c>
      <c r="N77">
        <v>425</v>
      </c>
      <c r="O77">
        <v>175</v>
      </c>
      <c r="P77">
        <v>2500</v>
      </c>
      <c r="Q77" t="s">
        <v>443</v>
      </c>
      <c r="R77">
        <v>50</v>
      </c>
      <c r="S77">
        <v>50</v>
      </c>
      <c r="U77">
        <v>0</v>
      </c>
      <c r="V77">
        <v>0</v>
      </c>
      <c r="W77">
        <v>0</v>
      </c>
      <c r="X77">
        <v>0</v>
      </c>
      <c r="Y77" t="s">
        <v>444</v>
      </c>
    </row>
    <row r="78" spans="1:25" x14ac:dyDescent="0.25">
      <c r="A78" s="18">
        <v>46256.01</v>
      </c>
      <c r="B78">
        <v>1</v>
      </c>
      <c r="C78" t="s">
        <v>489</v>
      </c>
      <c r="D78">
        <v>-1.1830015046080869E-4</v>
      </c>
      <c r="E78">
        <v>-1.2224348880950231</v>
      </c>
      <c r="F78" t="s">
        <v>268</v>
      </c>
      <c r="J78" s="18">
        <v>46256.01</v>
      </c>
      <c r="K78" t="s">
        <v>489</v>
      </c>
      <c r="L78" t="s">
        <v>155</v>
      </c>
      <c r="M78" t="s">
        <v>43</v>
      </c>
      <c r="N78">
        <v>475</v>
      </c>
      <c r="O78">
        <v>175</v>
      </c>
      <c r="P78">
        <v>2500</v>
      </c>
      <c r="Q78" t="s">
        <v>443</v>
      </c>
      <c r="R78">
        <v>50</v>
      </c>
      <c r="S78">
        <v>50</v>
      </c>
      <c r="U78">
        <v>0</v>
      </c>
      <c r="V78">
        <v>0</v>
      </c>
      <c r="W78">
        <v>0</v>
      </c>
      <c r="X78">
        <v>0</v>
      </c>
      <c r="Y78" t="s">
        <v>444</v>
      </c>
    </row>
    <row r="79" spans="1:25" x14ac:dyDescent="0.25">
      <c r="A79" s="18">
        <v>46256.01</v>
      </c>
      <c r="B79">
        <v>1</v>
      </c>
      <c r="C79" t="s">
        <v>490</v>
      </c>
      <c r="D79">
        <v>-9.8486420351832544E-5</v>
      </c>
      <c r="E79">
        <v>-1.0176930103022697</v>
      </c>
      <c r="F79" t="s">
        <v>268</v>
      </c>
      <c r="J79" s="18">
        <v>46256.01</v>
      </c>
      <c r="K79" t="s">
        <v>490</v>
      </c>
      <c r="L79" t="s">
        <v>155</v>
      </c>
      <c r="M79" t="s">
        <v>43</v>
      </c>
      <c r="N79">
        <v>525</v>
      </c>
      <c r="O79">
        <v>175</v>
      </c>
      <c r="P79">
        <v>2500</v>
      </c>
      <c r="Q79" t="s">
        <v>443</v>
      </c>
      <c r="R79">
        <v>50</v>
      </c>
      <c r="S79">
        <v>50</v>
      </c>
      <c r="U79">
        <v>0</v>
      </c>
      <c r="V79">
        <v>0</v>
      </c>
      <c r="W79">
        <v>0</v>
      </c>
      <c r="X79">
        <v>0</v>
      </c>
      <c r="Y79" t="s">
        <v>444</v>
      </c>
    </row>
    <row r="80" spans="1:25" x14ac:dyDescent="0.25">
      <c r="A80" s="18">
        <v>46256.01</v>
      </c>
      <c r="B80">
        <v>1</v>
      </c>
      <c r="C80" t="s">
        <v>491</v>
      </c>
      <c r="D80">
        <v>-7.8672690242856383E-5</v>
      </c>
      <c r="E80">
        <v>-0.81295113250951589</v>
      </c>
      <c r="F80" t="s">
        <v>268</v>
      </c>
      <c r="J80" s="18">
        <v>46256.01</v>
      </c>
      <c r="K80" t="s">
        <v>491</v>
      </c>
      <c r="L80" t="s">
        <v>155</v>
      </c>
      <c r="M80" t="s">
        <v>43</v>
      </c>
      <c r="N80">
        <v>575</v>
      </c>
      <c r="O80">
        <v>175</v>
      </c>
      <c r="P80">
        <v>2500</v>
      </c>
      <c r="Q80" t="s">
        <v>443</v>
      </c>
      <c r="R80">
        <v>50</v>
      </c>
      <c r="S80">
        <v>50</v>
      </c>
      <c r="U80">
        <v>0</v>
      </c>
      <c r="V80">
        <v>0</v>
      </c>
      <c r="W80">
        <v>0</v>
      </c>
      <c r="X80">
        <v>0</v>
      </c>
      <c r="Y80" t="s">
        <v>444</v>
      </c>
    </row>
    <row r="81" spans="1:25" x14ac:dyDescent="0.25">
      <c r="A81" s="18">
        <v>46256.01</v>
      </c>
      <c r="B81">
        <v>1</v>
      </c>
      <c r="C81" t="s">
        <v>492</v>
      </c>
      <c r="D81">
        <v>-2.6499095643077209E-4</v>
      </c>
      <c r="E81">
        <v>-2.7382398831179784</v>
      </c>
      <c r="F81" t="s">
        <v>268</v>
      </c>
      <c r="J81" s="18">
        <v>46256.01</v>
      </c>
      <c r="K81" t="s">
        <v>492</v>
      </c>
      <c r="L81" t="s">
        <v>155</v>
      </c>
      <c r="M81" t="s">
        <v>43</v>
      </c>
      <c r="N81">
        <v>25</v>
      </c>
      <c r="O81">
        <v>225</v>
      </c>
      <c r="P81">
        <v>2500</v>
      </c>
      <c r="Q81" t="s">
        <v>443</v>
      </c>
      <c r="R81">
        <v>50</v>
      </c>
      <c r="S81">
        <v>50</v>
      </c>
      <c r="U81">
        <v>0</v>
      </c>
      <c r="V81">
        <v>0</v>
      </c>
      <c r="W81">
        <v>0</v>
      </c>
      <c r="X81">
        <v>0</v>
      </c>
      <c r="Y81" t="s">
        <v>444</v>
      </c>
    </row>
    <row r="82" spans="1:25" x14ac:dyDescent="0.25">
      <c r="A82" s="18">
        <v>46256.01</v>
      </c>
      <c r="B82">
        <v>1</v>
      </c>
      <c r="C82" t="s">
        <v>493</v>
      </c>
      <c r="D82">
        <v>-2.4517722632179595E-4</v>
      </c>
      <c r="E82">
        <v>-2.533498005325225</v>
      </c>
      <c r="F82" t="s">
        <v>268</v>
      </c>
      <c r="J82" s="18">
        <v>46256.01</v>
      </c>
      <c r="K82" t="s">
        <v>493</v>
      </c>
      <c r="L82" t="s">
        <v>155</v>
      </c>
      <c r="M82" t="s">
        <v>43</v>
      </c>
      <c r="N82">
        <v>75</v>
      </c>
      <c r="O82">
        <v>225</v>
      </c>
      <c r="P82">
        <v>2500</v>
      </c>
      <c r="Q82" t="s">
        <v>443</v>
      </c>
      <c r="R82">
        <v>50</v>
      </c>
      <c r="S82">
        <v>50</v>
      </c>
      <c r="U82">
        <v>0</v>
      </c>
      <c r="V82">
        <v>0</v>
      </c>
      <c r="W82">
        <v>0</v>
      </c>
      <c r="X82">
        <v>0</v>
      </c>
      <c r="Y82" t="s">
        <v>444</v>
      </c>
    </row>
    <row r="83" spans="1:25" x14ac:dyDescent="0.25">
      <c r="A83" s="18">
        <v>46256.01</v>
      </c>
      <c r="B83">
        <v>1</v>
      </c>
      <c r="C83" t="s">
        <v>494</v>
      </c>
      <c r="D83">
        <v>-2.2536349621281977E-4</v>
      </c>
      <c r="E83">
        <v>-2.3287561275324711</v>
      </c>
      <c r="F83" t="s">
        <v>268</v>
      </c>
      <c r="J83" s="18">
        <v>46256.01</v>
      </c>
      <c r="K83" t="s">
        <v>494</v>
      </c>
      <c r="L83" t="s">
        <v>155</v>
      </c>
      <c r="M83" t="s">
        <v>43</v>
      </c>
      <c r="N83">
        <v>125</v>
      </c>
      <c r="O83">
        <v>225</v>
      </c>
      <c r="P83">
        <v>2500</v>
      </c>
      <c r="Q83" t="s">
        <v>443</v>
      </c>
      <c r="R83">
        <v>50</v>
      </c>
      <c r="S83">
        <v>50</v>
      </c>
      <c r="U83">
        <v>0</v>
      </c>
      <c r="V83">
        <v>0</v>
      </c>
      <c r="W83">
        <v>0</v>
      </c>
      <c r="X83">
        <v>0</v>
      </c>
      <c r="Y83" t="s">
        <v>444</v>
      </c>
    </row>
    <row r="84" spans="1:25" x14ac:dyDescent="0.25">
      <c r="A84" s="18">
        <v>46256.01</v>
      </c>
      <c r="B84">
        <v>1</v>
      </c>
      <c r="C84" t="s">
        <v>495</v>
      </c>
      <c r="D84">
        <v>-2.0554976610384363E-4</v>
      </c>
      <c r="E84">
        <v>-2.1240142497397176</v>
      </c>
      <c r="F84" t="s">
        <v>268</v>
      </c>
      <c r="J84" s="18">
        <v>46256.01</v>
      </c>
      <c r="K84" t="s">
        <v>495</v>
      </c>
      <c r="L84" t="s">
        <v>155</v>
      </c>
      <c r="M84" t="s">
        <v>43</v>
      </c>
      <c r="N84">
        <v>175</v>
      </c>
      <c r="O84">
        <v>225</v>
      </c>
      <c r="P84">
        <v>2500</v>
      </c>
      <c r="Q84" t="s">
        <v>443</v>
      </c>
      <c r="R84">
        <v>50</v>
      </c>
      <c r="S84">
        <v>50</v>
      </c>
      <c r="U84">
        <v>0</v>
      </c>
      <c r="V84">
        <v>0</v>
      </c>
      <c r="W84">
        <v>0</v>
      </c>
      <c r="X84">
        <v>0</v>
      </c>
      <c r="Y84" t="s">
        <v>444</v>
      </c>
    </row>
    <row r="85" spans="1:25" x14ac:dyDescent="0.25">
      <c r="A85" s="18">
        <v>46256.01</v>
      </c>
      <c r="B85">
        <v>1</v>
      </c>
      <c r="C85" t="s">
        <v>496</v>
      </c>
      <c r="D85">
        <v>-1.8573603599486747E-4</v>
      </c>
      <c r="E85">
        <v>-1.9192723719469638</v>
      </c>
      <c r="F85" t="s">
        <v>268</v>
      </c>
      <c r="J85" s="18">
        <v>46256.01</v>
      </c>
      <c r="K85" t="s">
        <v>496</v>
      </c>
      <c r="L85" t="s">
        <v>155</v>
      </c>
      <c r="M85" t="s">
        <v>43</v>
      </c>
      <c r="N85">
        <v>225</v>
      </c>
      <c r="O85">
        <v>225</v>
      </c>
      <c r="P85">
        <v>2500</v>
      </c>
      <c r="Q85" t="s">
        <v>443</v>
      </c>
      <c r="R85">
        <v>50</v>
      </c>
      <c r="S85">
        <v>50</v>
      </c>
      <c r="U85">
        <v>0</v>
      </c>
      <c r="V85">
        <v>0</v>
      </c>
      <c r="W85">
        <v>0</v>
      </c>
      <c r="X85">
        <v>0</v>
      </c>
      <c r="Y85" t="s">
        <v>444</v>
      </c>
    </row>
    <row r="86" spans="1:25" x14ac:dyDescent="0.25">
      <c r="A86" s="18">
        <v>46256.01</v>
      </c>
      <c r="B86">
        <v>1</v>
      </c>
      <c r="C86" t="s">
        <v>497</v>
      </c>
      <c r="D86">
        <v>-1.6592230588589131E-4</v>
      </c>
      <c r="E86">
        <v>-1.7145304941542101</v>
      </c>
      <c r="F86" t="s">
        <v>268</v>
      </c>
      <c r="J86" s="18">
        <v>46256.01</v>
      </c>
      <c r="K86" t="s">
        <v>497</v>
      </c>
      <c r="L86" t="s">
        <v>155</v>
      </c>
      <c r="M86" t="s">
        <v>43</v>
      </c>
      <c r="N86">
        <v>275</v>
      </c>
      <c r="O86">
        <v>225</v>
      </c>
      <c r="P86">
        <v>2500</v>
      </c>
      <c r="Q86" t="s">
        <v>443</v>
      </c>
      <c r="R86">
        <v>50</v>
      </c>
      <c r="S86">
        <v>50</v>
      </c>
      <c r="U86">
        <v>0</v>
      </c>
      <c r="V86">
        <v>0</v>
      </c>
      <c r="W86">
        <v>0</v>
      </c>
      <c r="X86">
        <v>0</v>
      </c>
      <c r="Y86" t="s">
        <v>444</v>
      </c>
    </row>
    <row r="87" spans="1:25" x14ac:dyDescent="0.25">
      <c r="A87" s="18">
        <v>46256.01</v>
      </c>
      <c r="B87">
        <v>1</v>
      </c>
      <c r="C87" t="s">
        <v>498</v>
      </c>
      <c r="D87">
        <v>-1.4610857577691515E-4</v>
      </c>
      <c r="E87">
        <v>-1.5097886163614564</v>
      </c>
      <c r="F87" t="s">
        <v>268</v>
      </c>
      <c r="J87" s="18">
        <v>46256.01</v>
      </c>
      <c r="K87" t="s">
        <v>498</v>
      </c>
      <c r="L87" t="s">
        <v>155</v>
      </c>
      <c r="M87" t="s">
        <v>43</v>
      </c>
      <c r="N87">
        <v>325</v>
      </c>
      <c r="O87">
        <v>225</v>
      </c>
      <c r="P87">
        <v>2500</v>
      </c>
      <c r="Q87" t="s">
        <v>443</v>
      </c>
      <c r="R87">
        <v>50</v>
      </c>
      <c r="S87">
        <v>50</v>
      </c>
      <c r="U87">
        <v>0</v>
      </c>
      <c r="V87">
        <v>0</v>
      </c>
      <c r="W87">
        <v>0</v>
      </c>
      <c r="X87">
        <v>0</v>
      </c>
      <c r="Y87" t="s">
        <v>444</v>
      </c>
    </row>
    <row r="88" spans="1:25" x14ac:dyDescent="0.25">
      <c r="A88" s="18">
        <v>46256.01</v>
      </c>
      <c r="B88">
        <v>1</v>
      </c>
      <c r="C88" t="s">
        <v>499</v>
      </c>
      <c r="D88">
        <v>-1.2629484566793899E-4</v>
      </c>
      <c r="E88">
        <v>-1.3050467385687028</v>
      </c>
      <c r="F88" t="s">
        <v>268</v>
      </c>
      <c r="J88" s="18">
        <v>46256.01</v>
      </c>
      <c r="K88" t="s">
        <v>499</v>
      </c>
      <c r="L88" t="s">
        <v>155</v>
      </c>
      <c r="M88" t="s">
        <v>43</v>
      </c>
      <c r="N88">
        <v>375</v>
      </c>
      <c r="O88">
        <v>225</v>
      </c>
      <c r="P88">
        <v>2500</v>
      </c>
      <c r="Q88" t="s">
        <v>443</v>
      </c>
      <c r="R88">
        <v>50</v>
      </c>
      <c r="S88">
        <v>50</v>
      </c>
      <c r="U88">
        <v>0</v>
      </c>
      <c r="V88">
        <v>0</v>
      </c>
      <c r="W88">
        <v>0</v>
      </c>
      <c r="X88">
        <v>0</v>
      </c>
      <c r="Y88" t="s">
        <v>444</v>
      </c>
    </row>
    <row r="89" spans="1:25" x14ac:dyDescent="0.25">
      <c r="A89" s="18">
        <v>46256.01</v>
      </c>
      <c r="B89">
        <v>1</v>
      </c>
      <c r="C89" t="s">
        <v>500</v>
      </c>
      <c r="D89">
        <v>-1.0648111555896284E-4</v>
      </c>
      <c r="E89">
        <v>-1.1003048607759494</v>
      </c>
      <c r="F89" t="s">
        <v>268</v>
      </c>
      <c r="J89" s="18">
        <v>46256.01</v>
      </c>
      <c r="K89" t="s">
        <v>500</v>
      </c>
      <c r="L89" t="s">
        <v>155</v>
      </c>
      <c r="M89" t="s">
        <v>43</v>
      </c>
      <c r="N89">
        <v>425</v>
      </c>
      <c r="O89">
        <v>225</v>
      </c>
      <c r="P89">
        <v>2500</v>
      </c>
      <c r="Q89" t="s">
        <v>443</v>
      </c>
      <c r="R89">
        <v>50</v>
      </c>
      <c r="S89">
        <v>50</v>
      </c>
      <c r="U89">
        <v>0</v>
      </c>
      <c r="V89">
        <v>0</v>
      </c>
      <c r="W89">
        <v>0</v>
      </c>
      <c r="X89">
        <v>0</v>
      </c>
      <c r="Y89" t="s">
        <v>444</v>
      </c>
    </row>
    <row r="90" spans="1:25" x14ac:dyDescent="0.25">
      <c r="A90" s="18">
        <v>46256.01</v>
      </c>
      <c r="B90">
        <v>1</v>
      </c>
      <c r="C90" t="s">
        <v>501</v>
      </c>
      <c r="D90">
        <v>-8.6667385449986696E-5</v>
      </c>
      <c r="E90">
        <v>-0.89556298298319581</v>
      </c>
      <c r="F90" t="s">
        <v>268</v>
      </c>
      <c r="J90" s="18">
        <v>46256.01</v>
      </c>
      <c r="K90" t="s">
        <v>501</v>
      </c>
      <c r="L90" t="s">
        <v>155</v>
      </c>
      <c r="M90" t="s">
        <v>43</v>
      </c>
      <c r="N90">
        <v>475</v>
      </c>
      <c r="O90">
        <v>225</v>
      </c>
      <c r="P90">
        <v>2500</v>
      </c>
      <c r="Q90" t="s">
        <v>443</v>
      </c>
      <c r="R90">
        <v>50</v>
      </c>
      <c r="S90">
        <v>50</v>
      </c>
      <c r="U90">
        <v>0</v>
      </c>
      <c r="V90">
        <v>0</v>
      </c>
      <c r="W90">
        <v>0</v>
      </c>
      <c r="X90">
        <v>0</v>
      </c>
      <c r="Y90" t="s">
        <v>444</v>
      </c>
    </row>
    <row r="91" spans="1:25" x14ac:dyDescent="0.25">
      <c r="A91" s="18">
        <v>46256.01</v>
      </c>
      <c r="B91">
        <v>1</v>
      </c>
      <c r="C91" t="s">
        <v>502</v>
      </c>
      <c r="D91">
        <v>-6.6853655341010535E-5</v>
      </c>
      <c r="E91">
        <v>-0.69082110519044215</v>
      </c>
      <c r="F91" t="s">
        <v>268</v>
      </c>
      <c r="J91" s="18">
        <v>46256.01</v>
      </c>
      <c r="K91" t="s">
        <v>502</v>
      </c>
      <c r="L91" t="s">
        <v>155</v>
      </c>
      <c r="M91" t="s">
        <v>43</v>
      </c>
      <c r="N91">
        <v>525</v>
      </c>
      <c r="O91">
        <v>225</v>
      </c>
      <c r="P91">
        <v>2500</v>
      </c>
      <c r="Q91" t="s">
        <v>443</v>
      </c>
      <c r="R91">
        <v>50</v>
      </c>
      <c r="S91">
        <v>50</v>
      </c>
      <c r="U91">
        <v>0</v>
      </c>
      <c r="V91">
        <v>0</v>
      </c>
      <c r="W91">
        <v>0</v>
      </c>
      <c r="X91">
        <v>0</v>
      </c>
      <c r="Y91" t="s">
        <v>444</v>
      </c>
    </row>
    <row r="92" spans="1:25" x14ac:dyDescent="0.25">
      <c r="A92" s="18">
        <v>46256.01</v>
      </c>
      <c r="B92">
        <v>1</v>
      </c>
      <c r="C92" t="s">
        <v>503</v>
      </c>
      <c r="D92">
        <v>-4.7039925232034388E-5</v>
      </c>
      <c r="E92">
        <v>-0.48607922739768866</v>
      </c>
      <c r="F92" t="s">
        <v>268</v>
      </c>
      <c r="J92" s="18">
        <v>46256.01</v>
      </c>
      <c r="K92" t="s">
        <v>503</v>
      </c>
      <c r="L92" t="s">
        <v>155</v>
      </c>
      <c r="M92" t="s">
        <v>43</v>
      </c>
      <c r="N92">
        <v>575</v>
      </c>
      <c r="O92">
        <v>225</v>
      </c>
      <c r="P92">
        <v>2500</v>
      </c>
      <c r="Q92" t="s">
        <v>443</v>
      </c>
      <c r="R92">
        <v>50</v>
      </c>
      <c r="S92">
        <v>50</v>
      </c>
      <c r="U92">
        <v>0</v>
      </c>
      <c r="V92">
        <v>0</v>
      </c>
      <c r="W92">
        <v>0</v>
      </c>
      <c r="X92">
        <v>0</v>
      </c>
      <c r="Y92" t="s">
        <v>444</v>
      </c>
    </row>
    <row r="93" spans="1:25" x14ac:dyDescent="0.25">
      <c r="A93" s="18">
        <v>46256.01</v>
      </c>
      <c r="B93">
        <v>1</v>
      </c>
      <c r="C93" t="s">
        <v>504</v>
      </c>
      <c r="D93">
        <v>-2.3335819141995009E-4</v>
      </c>
      <c r="E93">
        <v>-2.411367978006151</v>
      </c>
      <c r="F93" t="s">
        <v>268</v>
      </c>
      <c r="J93" s="18">
        <v>46256.01</v>
      </c>
      <c r="K93" t="s">
        <v>504</v>
      </c>
      <c r="L93" t="s">
        <v>155</v>
      </c>
      <c r="M93" t="s">
        <v>43</v>
      </c>
      <c r="N93">
        <v>25</v>
      </c>
      <c r="O93">
        <v>275</v>
      </c>
      <c r="P93">
        <v>2500</v>
      </c>
      <c r="Q93" t="s">
        <v>443</v>
      </c>
      <c r="R93">
        <v>50</v>
      </c>
      <c r="S93">
        <v>50</v>
      </c>
      <c r="U93">
        <v>0</v>
      </c>
      <c r="V93">
        <v>0</v>
      </c>
      <c r="W93">
        <v>0</v>
      </c>
      <c r="X93">
        <v>0</v>
      </c>
      <c r="Y93" t="s">
        <v>444</v>
      </c>
    </row>
    <row r="94" spans="1:25" x14ac:dyDescent="0.25">
      <c r="A94" s="18">
        <v>46256.01</v>
      </c>
      <c r="B94">
        <v>1</v>
      </c>
      <c r="C94" t="s">
        <v>505</v>
      </c>
      <c r="D94">
        <v>-2.1354446131097393E-4</v>
      </c>
      <c r="E94">
        <v>-2.2066261002133971</v>
      </c>
      <c r="F94" t="s">
        <v>268</v>
      </c>
      <c r="J94" s="18">
        <v>46256.01</v>
      </c>
      <c r="K94" t="s">
        <v>505</v>
      </c>
      <c r="L94" t="s">
        <v>155</v>
      </c>
      <c r="M94" t="s">
        <v>43</v>
      </c>
      <c r="N94">
        <v>75</v>
      </c>
      <c r="O94">
        <v>275</v>
      </c>
      <c r="P94">
        <v>2500</v>
      </c>
      <c r="Q94" t="s">
        <v>443</v>
      </c>
      <c r="R94">
        <v>50</v>
      </c>
      <c r="S94">
        <v>50</v>
      </c>
      <c r="U94">
        <v>0</v>
      </c>
      <c r="V94">
        <v>0</v>
      </c>
      <c r="W94">
        <v>0</v>
      </c>
      <c r="X94">
        <v>0</v>
      </c>
      <c r="Y94" t="s">
        <v>444</v>
      </c>
    </row>
    <row r="95" spans="1:25" x14ac:dyDescent="0.25">
      <c r="A95" s="18">
        <v>46256.01</v>
      </c>
      <c r="B95">
        <v>1</v>
      </c>
      <c r="C95" t="s">
        <v>506</v>
      </c>
      <c r="D95">
        <v>-1.9373073120199777E-4</v>
      </c>
      <c r="E95">
        <v>-2.0018842224206437</v>
      </c>
      <c r="F95" t="s">
        <v>268</v>
      </c>
      <c r="J95" s="18">
        <v>46256.01</v>
      </c>
      <c r="K95" t="s">
        <v>506</v>
      </c>
      <c r="L95" t="s">
        <v>155</v>
      </c>
      <c r="M95" t="s">
        <v>43</v>
      </c>
      <c r="N95">
        <v>125</v>
      </c>
      <c r="O95">
        <v>275</v>
      </c>
      <c r="P95">
        <v>2500</v>
      </c>
      <c r="Q95" t="s">
        <v>443</v>
      </c>
      <c r="R95">
        <v>50</v>
      </c>
      <c r="S95">
        <v>50</v>
      </c>
      <c r="U95">
        <v>0</v>
      </c>
      <c r="V95">
        <v>0</v>
      </c>
      <c r="W95">
        <v>0</v>
      </c>
      <c r="X95">
        <v>0</v>
      </c>
      <c r="Y95" t="s">
        <v>444</v>
      </c>
    </row>
    <row r="96" spans="1:25" x14ac:dyDescent="0.25">
      <c r="A96" s="18">
        <v>46256.01</v>
      </c>
      <c r="B96">
        <v>1</v>
      </c>
      <c r="C96" t="s">
        <v>507</v>
      </c>
      <c r="D96">
        <v>-1.7391700109302161E-4</v>
      </c>
      <c r="E96">
        <v>-1.79714234462789</v>
      </c>
      <c r="F96" t="s">
        <v>268</v>
      </c>
      <c r="J96" s="18">
        <v>46256.01</v>
      </c>
      <c r="K96" t="s">
        <v>507</v>
      </c>
      <c r="L96" t="s">
        <v>155</v>
      </c>
      <c r="M96" t="s">
        <v>43</v>
      </c>
      <c r="N96">
        <v>175</v>
      </c>
      <c r="O96">
        <v>275</v>
      </c>
      <c r="P96">
        <v>2500</v>
      </c>
      <c r="Q96" t="s">
        <v>443</v>
      </c>
      <c r="R96">
        <v>50</v>
      </c>
      <c r="S96">
        <v>50</v>
      </c>
      <c r="U96">
        <v>0</v>
      </c>
      <c r="V96">
        <v>0</v>
      </c>
      <c r="W96">
        <v>0</v>
      </c>
      <c r="X96">
        <v>0</v>
      </c>
      <c r="Y96" t="s">
        <v>444</v>
      </c>
    </row>
    <row r="97" spans="1:25" x14ac:dyDescent="0.25">
      <c r="A97" s="18">
        <v>46256.01</v>
      </c>
      <c r="B97">
        <v>1</v>
      </c>
      <c r="C97" t="s">
        <v>508</v>
      </c>
      <c r="D97">
        <v>-1.5410327098404548E-4</v>
      </c>
      <c r="E97">
        <v>-1.5924004668351366</v>
      </c>
      <c r="F97" t="s">
        <v>268</v>
      </c>
      <c r="J97" s="18">
        <v>46256.01</v>
      </c>
      <c r="K97" t="s">
        <v>508</v>
      </c>
      <c r="L97" t="s">
        <v>155</v>
      </c>
      <c r="M97" t="s">
        <v>43</v>
      </c>
      <c r="N97">
        <v>225</v>
      </c>
      <c r="O97">
        <v>275</v>
      </c>
      <c r="P97">
        <v>2500</v>
      </c>
      <c r="Q97" t="s">
        <v>443</v>
      </c>
      <c r="R97">
        <v>50</v>
      </c>
      <c r="S97">
        <v>50</v>
      </c>
      <c r="U97">
        <v>0</v>
      </c>
      <c r="V97">
        <v>0</v>
      </c>
      <c r="W97">
        <v>0</v>
      </c>
      <c r="X97">
        <v>0</v>
      </c>
      <c r="Y97" t="s">
        <v>444</v>
      </c>
    </row>
    <row r="98" spans="1:25" x14ac:dyDescent="0.25">
      <c r="A98" s="18">
        <v>46256.01</v>
      </c>
      <c r="B98">
        <v>1</v>
      </c>
      <c r="C98" t="s">
        <v>509</v>
      </c>
      <c r="D98">
        <v>-2.017254264091281E-4</v>
      </c>
      <c r="E98">
        <v>-2.0844960728943236</v>
      </c>
      <c r="F98" t="s">
        <v>268</v>
      </c>
      <c r="J98" s="18">
        <v>46256.01</v>
      </c>
      <c r="K98" t="s">
        <v>509</v>
      </c>
      <c r="L98" t="s">
        <v>155</v>
      </c>
      <c r="M98" t="s">
        <v>43</v>
      </c>
      <c r="N98">
        <v>25</v>
      </c>
      <c r="O98">
        <v>325</v>
      </c>
      <c r="P98">
        <v>2500</v>
      </c>
      <c r="Q98" t="s">
        <v>443</v>
      </c>
      <c r="R98">
        <v>50</v>
      </c>
      <c r="S98">
        <v>50</v>
      </c>
      <c r="U98">
        <v>0</v>
      </c>
      <c r="V98">
        <v>0</v>
      </c>
      <c r="W98">
        <v>0</v>
      </c>
      <c r="X98">
        <v>0</v>
      </c>
      <c r="Y98" t="s">
        <v>444</v>
      </c>
    </row>
    <row r="99" spans="1:25" x14ac:dyDescent="0.25">
      <c r="A99" s="18">
        <v>46256.01</v>
      </c>
      <c r="B99">
        <v>1</v>
      </c>
      <c r="C99" t="s">
        <v>510</v>
      </c>
      <c r="D99">
        <v>-1.8191169630015194E-4</v>
      </c>
      <c r="E99">
        <v>-1.8797541951015699</v>
      </c>
      <c r="F99" t="s">
        <v>268</v>
      </c>
      <c r="J99" s="18">
        <v>46256.01</v>
      </c>
      <c r="K99" t="s">
        <v>510</v>
      </c>
      <c r="L99" t="s">
        <v>155</v>
      </c>
      <c r="M99" t="s">
        <v>43</v>
      </c>
      <c r="N99">
        <v>75</v>
      </c>
      <c r="O99">
        <v>325</v>
      </c>
      <c r="P99">
        <v>2500</v>
      </c>
      <c r="Q99" t="s">
        <v>443</v>
      </c>
      <c r="R99">
        <v>50</v>
      </c>
      <c r="S99">
        <v>50</v>
      </c>
      <c r="U99">
        <v>0</v>
      </c>
      <c r="V99">
        <v>0</v>
      </c>
      <c r="W99">
        <v>0</v>
      </c>
      <c r="X99">
        <v>0</v>
      </c>
      <c r="Y99" t="s">
        <v>444</v>
      </c>
    </row>
    <row r="100" spans="1:25" x14ac:dyDescent="0.25">
      <c r="A100" s="18">
        <v>46256.01</v>
      </c>
      <c r="B100">
        <v>1</v>
      </c>
      <c r="C100" t="s">
        <v>511</v>
      </c>
      <c r="D100">
        <v>-1.6209796619117578E-4</v>
      </c>
      <c r="E100">
        <v>-1.6750123173088163</v>
      </c>
      <c r="F100" t="s">
        <v>268</v>
      </c>
      <c r="J100" s="18">
        <v>46256.01</v>
      </c>
      <c r="K100" t="s">
        <v>511</v>
      </c>
      <c r="L100" t="s">
        <v>155</v>
      </c>
      <c r="M100" t="s">
        <v>43</v>
      </c>
      <c r="N100">
        <v>125</v>
      </c>
      <c r="O100">
        <v>325</v>
      </c>
      <c r="P100">
        <v>2500</v>
      </c>
      <c r="Q100" t="s">
        <v>443</v>
      </c>
      <c r="R100">
        <v>50</v>
      </c>
      <c r="S100">
        <v>50</v>
      </c>
      <c r="U100">
        <v>0</v>
      </c>
      <c r="V100">
        <v>0</v>
      </c>
      <c r="W100">
        <v>0</v>
      </c>
      <c r="X100">
        <v>0</v>
      </c>
      <c r="Y100" t="s">
        <v>444</v>
      </c>
    </row>
    <row r="101" spans="1:25" x14ac:dyDescent="0.25">
      <c r="A101" s="18">
        <v>46256.01</v>
      </c>
      <c r="B101">
        <v>1</v>
      </c>
      <c r="C101" t="s">
        <v>512</v>
      </c>
      <c r="D101">
        <v>-1.4228423608219962E-4</v>
      </c>
      <c r="E101">
        <v>-1.4702704395160626</v>
      </c>
      <c r="F101" t="s">
        <v>268</v>
      </c>
      <c r="J101" s="18">
        <v>46256.01</v>
      </c>
      <c r="K101" t="s">
        <v>512</v>
      </c>
      <c r="L101" t="s">
        <v>155</v>
      </c>
      <c r="M101" t="s">
        <v>43</v>
      </c>
      <c r="N101">
        <v>175</v>
      </c>
      <c r="O101">
        <v>325</v>
      </c>
      <c r="P101">
        <v>2500</v>
      </c>
      <c r="Q101" t="s">
        <v>443</v>
      </c>
      <c r="R101">
        <v>50</v>
      </c>
      <c r="S101">
        <v>50</v>
      </c>
      <c r="U101">
        <v>0</v>
      </c>
      <c r="V101">
        <v>0</v>
      </c>
      <c r="W101">
        <v>0</v>
      </c>
      <c r="X101">
        <v>0</v>
      </c>
      <c r="Y101" t="s">
        <v>444</v>
      </c>
    </row>
    <row r="102" spans="1:25" x14ac:dyDescent="0.25">
      <c r="A102" s="18">
        <v>46256.01</v>
      </c>
      <c r="B102">
        <v>1</v>
      </c>
      <c r="C102" t="s">
        <v>513</v>
      </c>
      <c r="D102">
        <v>-1.2247050597322348E-4</v>
      </c>
      <c r="E102">
        <v>-1.2655285617233092</v>
      </c>
      <c r="F102" t="s">
        <v>268</v>
      </c>
      <c r="J102" s="18">
        <v>46256.01</v>
      </c>
      <c r="K102" t="s">
        <v>513</v>
      </c>
      <c r="L102" t="s">
        <v>155</v>
      </c>
      <c r="M102" t="s">
        <v>43</v>
      </c>
      <c r="N102">
        <v>225</v>
      </c>
      <c r="O102">
        <v>325</v>
      </c>
      <c r="P102">
        <v>2500</v>
      </c>
      <c r="Q102" t="s">
        <v>443</v>
      </c>
      <c r="R102">
        <v>50</v>
      </c>
      <c r="S102">
        <v>50</v>
      </c>
      <c r="U102">
        <v>0</v>
      </c>
      <c r="V102">
        <v>0</v>
      </c>
      <c r="W102">
        <v>0</v>
      </c>
      <c r="X102">
        <v>0</v>
      </c>
      <c r="Y102" t="s">
        <v>444</v>
      </c>
    </row>
    <row r="103" spans="1:25" x14ac:dyDescent="0.25">
      <c r="A103" s="18">
        <v>46256.01</v>
      </c>
      <c r="B103">
        <v>1</v>
      </c>
      <c r="C103" t="s">
        <v>514</v>
      </c>
      <c r="D103">
        <v>-1.700926613983061E-4</v>
      </c>
      <c r="E103">
        <v>-1.7576241677824964</v>
      </c>
      <c r="F103" t="s">
        <v>268</v>
      </c>
      <c r="J103" s="18">
        <v>46256.01</v>
      </c>
      <c r="K103" t="s">
        <v>514</v>
      </c>
      <c r="L103" t="s">
        <v>155</v>
      </c>
      <c r="M103" t="s">
        <v>43</v>
      </c>
      <c r="N103">
        <v>25</v>
      </c>
      <c r="O103">
        <v>375</v>
      </c>
      <c r="P103">
        <v>2500</v>
      </c>
      <c r="Q103" t="s">
        <v>443</v>
      </c>
      <c r="R103">
        <v>50</v>
      </c>
      <c r="S103">
        <v>50</v>
      </c>
      <c r="U103">
        <v>0</v>
      </c>
      <c r="V103">
        <v>0</v>
      </c>
      <c r="W103">
        <v>0</v>
      </c>
      <c r="X103">
        <v>0</v>
      </c>
      <c r="Y103" t="s">
        <v>444</v>
      </c>
    </row>
    <row r="104" spans="1:25" x14ac:dyDescent="0.25">
      <c r="A104" s="18">
        <v>46256.01</v>
      </c>
      <c r="B104">
        <v>1</v>
      </c>
      <c r="C104" t="s">
        <v>515</v>
      </c>
      <c r="D104">
        <v>-1.5027893128932994E-4</v>
      </c>
      <c r="E104">
        <v>-1.5528822899897428</v>
      </c>
      <c r="F104" t="s">
        <v>268</v>
      </c>
      <c r="J104" s="18">
        <v>46256.01</v>
      </c>
      <c r="K104" t="s">
        <v>515</v>
      </c>
      <c r="L104" t="s">
        <v>155</v>
      </c>
      <c r="M104" t="s">
        <v>43</v>
      </c>
      <c r="N104">
        <v>75</v>
      </c>
      <c r="O104">
        <v>375</v>
      </c>
      <c r="P104">
        <v>2500</v>
      </c>
      <c r="Q104" t="s">
        <v>443</v>
      </c>
      <c r="R104">
        <v>50</v>
      </c>
      <c r="S104">
        <v>50</v>
      </c>
      <c r="U104">
        <v>0</v>
      </c>
      <c r="V104">
        <v>0</v>
      </c>
      <c r="W104">
        <v>0</v>
      </c>
      <c r="X104">
        <v>0</v>
      </c>
      <c r="Y104" t="s">
        <v>444</v>
      </c>
    </row>
    <row r="105" spans="1:25" x14ac:dyDescent="0.25">
      <c r="A105" s="18">
        <v>46256.01</v>
      </c>
      <c r="B105">
        <v>1</v>
      </c>
      <c r="C105" t="s">
        <v>516</v>
      </c>
      <c r="D105">
        <v>-1.3046520118035378E-4</v>
      </c>
      <c r="E105">
        <v>-1.3481404121969891</v>
      </c>
      <c r="F105" t="s">
        <v>268</v>
      </c>
      <c r="J105" s="18">
        <v>46256.01</v>
      </c>
      <c r="K105" t="s">
        <v>516</v>
      </c>
      <c r="L105" t="s">
        <v>155</v>
      </c>
      <c r="M105" t="s">
        <v>43</v>
      </c>
      <c r="N105">
        <v>125</v>
      </c>
      <c r="O105">
        <v>375</v>
      </c>
      <c r="P105">
        <v>2500</v>
      </c>
      <c r="Q105" t="s">
        <v>443</v>
      </c>
      <c r="R105">
        <v>50</v>
      </c>
      <c r="S105">
        <v>50</v>
      </c>
      <c r="U105">
        <v>0</v>
      </c>
      <c r="V105">
        <v>0</v>
      </c>
      <c r="W105">
        <v>0</v>
      </c>
      <c r="X105">
        <v>0</v>
      </c>
      <c r="Y105" t="s">
        <v>444</v>
      </c>
    </row>
    <row r="106" spans="1:25" x14ac:dyDescent="0.25">
      <c r="A106" s="18">
        <v>46256.01</v>
      </c>
      <c r="B106">
        <v>1</v>
      </c>
      <c r="C106" t="s">
        <v>517</v>
      </c>
      <c r="D106">
        <v>-1.1065147107137763E-4</v>
      </c>
      <c r="E106">
        <v>-1.1433985344042354</v>
      </c>
      <c r="F106" t="s">
        <v>268</v>
      </c>
      <c r="J106" s="18">
        <v>46256.01</v>
      </c>
      <c r="K106" t="s">
        <v>517</v>
      </c>
      <c r="L106" t="s">
        <v>155</v>
      </c>
      <c r="M106" t="s">
        <v>43</v>
      </c>
      <c r="N106">
        <v>175</v>
      </c>
      <c r="O106">
        <v>375</v>
      </c>
      <c r="P106">
        <v>2500</v>
      </c>
      <c r="Q106" t="s">
        <v>443</v>
      </c>
      <c r="R106">
        <v>50</v>
      </c>
      <c r="S106">
        <v>50</v>
      </c>
      <c r="U106">
        <v>0</v>
      </c>
      <c r="V106">
        <v>0</v>
      </c>
      <c r="W106">
        <v>0</v>
      </c>
      <c r="X106">
        <v>0</v>
      </c>
      <c r="Y106" t="s">
        <v>444</v>
      </c>
    </row>
    <row r="107" spans="1:25" x14ac:dyDescent="0.25">
      <c r="A107" s="18">
        <v>46256.01</v>
      </c>
      <c r="B107">
        <v>1</v>
      </c>
      <c r="C107" t="s">
        <v>518</v>
      </c>
      <c r="D107">
        <v>-9.0837740962401473E-5</v>
      </c>
      <c r="E107">
        <v>-0.9386566566114819</v>
      </c>
      <c r="F107" t="s">
        <v>268</v>
      </c>
      <c r="J107" s="18">
        <v>46256.01</v>
      </c>
      <c r="K107" t="s">
        <v>518</v>
      </c>
      <c r="L107" t="s">
        <v>155</v>
      </c>
      <c r="M107" t="s">
        <v>43</v>
      </c>
      <c r="N107">
        <v>225</v>
      </c>
      <c r="O107">
        <v>375</v>
      </c>
      <c r="P107">
        <v>2500</v>
      </c>
      <c r="Q107" t="s">
        <v>443</v>
      </c>
      <c r="R107">
        <v>50</v>
      </c>
      <c r="S107">
        <v>50</v>
      </c>
      <c r="U107">
        <v>0</v>
      </c>
      <c r="V107">
        <v>0</v>
      </c>
      <c r="W107">
        <v>0</v>
      </c>
      <c r="X107">
        <v>0</v>
      </c>
      <c r="Y107" t="s">
        <v>444</v>
      </c>
    </row>
    <row r="108" spans="1:25" x14ac:dyDescent="0.25">
      <c r="A108" s="18">
        <v>46256.01</v>
      </c>
      <c r="B108">
        <v>1</v>
      </c>
      <c r="C108" t="s">
        <v>519</v>
      </c>
      <c r="D108">
        <v>-1.3845989638748408E-4</v>
      </c>
      <c r="E108">
        <v>-1.4307522626706688</v>
      </c>
      <c r="F108" t="s">
        <v>268</v>
      </c>
      <c r="J108" s="18">
        <v>46256.01</v>
      </c>
      <c r="K108" t="s">
        <v>519</v>
      </c>
      <c r="L108" t="s">
        <v>155</v>
      </c>
      <c r="M108" t="s">
        <v>43</v>
      </c>
      <c r="N108">
        <v>25</v>
      </c>
      <c r="O108">
        <v>425</v>
      </c>
      <c r="P108">
        <v>2500</v>
      </c>
      <c r="Q108" t="s">
        <v>443</v>
      </c>
      <c r="R108">
        <v>50</v>
      </c>
      <c r="S108">
        <v>50</v>
      </c>
      <c r="U108">
        <v>0</v>
      </c>
      <c r="V108">
        <v>0</v>
      </c>
      <c r="W108">
        <v>0</v>
      </c>
      <c r="X108">
        <v>0</v>
      </c>
      <c r="Y108" t="s">
        <v>444</v>
      </c>
    </row>
    <row r="109" spans="1:25" x14ac:dyDescent="0.25">
      <c r="A109" s="18">
        <v>46256.01</v>
      </c>
      <c r="B109">
        <v>1</v>
      </c>
      <c r="C109" t="s">
        <v>520</v>
      </c>
      <c r="D109">
        <v>-1.1864616627850793E-4</v>
      </c>
      <c r="E109">
        <v>-1.2260103848779154</v>
      </c>
      <c r="F109" t="s">
        <v>268</v>
      </c>
      <c r="J109" s="18">
        <v>46256.01</v>
      </c>
      <c r="K109" t="s">
        <v>520</v>
      </c>
      <c r="L109" t="s">
        <v>155</v>
      </c>
      <c r="M109" t="s">
        <v>43</v>
      </c>
      <c r="N109">
        <v>75</v>
      </c>
      <c r="O109">
        <v>425</v>
      </c>
      <c r="P109">
        <v>2500</v>
      </c>
      <c r="Q109" t="s">
        <v>443</v>
      </c>
      <c r="R109">
        <v>50</v>
      </c>
      <c r="S109">
        <v>50</v>
      </c>
      <c r="U109">
        <v>0</v>
      </c>
      <c r="V109">
        <v>0</v>
      </c>
      <c r="W109">
        <v>0</v>
      </c>
      <c r="X109">
        <v>0</v>
      </c>
      <c r="Y109" t="s">
        <v>444</v>
      </c>
    </row>
    <row r="110" spans="1:25" x14ac:dyDescent="0.25">
      <c r="A110" s="18">
        <v>46256.01</v>
      </c>
      <c r="B110">
        <v>1</v>
      </c>
      <c r="C110" t="s">
        <v>521</v>
      </c>
      <c r="D110">
        <v>-9.8832436169531785E-5</v>
      </c>
      <c r="E110">
        <v>-1.0212685070851617</v>
      </c>
      <c r="F110" t="s">
        <v>268</v>
      </c>
      <c r="J110" s="18">
        <v>46256.01</v>
      </c>
      <c r="K110" t="s">
        <v>521</v>
      </c>
      <c r="L110" t="s">
        <v>155</v>
      </c>
      <c r="M110" t="s">
        <v>43</v>
      </c>
      <c r="N110">
        <v>125</v>
      </c>
      <c r="O110">
        <v>425</v>
      </c>
      <c r="P110">
        <v>2500</v>
      </c>
      <c r="Q110" t="s">
        <v>443</v>
      </c>
      <c r="R110">
        <v>50</v>
      </c>
      <c r="S110">
        <v>50</v>
      </c>
      <c r="U110">
        <v>0</v>
      </c>
      <c r="V110">
        <v>0</v>
      </c>
      <c r="W110">
        <v>0</v>
      </c>
      <c r="X110">
        <v>0</v>
      </c>
      <c r="Y110" t="s">
        <v>444</v>
      </c>
    </row>
    <row r="111" spans="1:25" x14ac:dyDescent="0.25">
      <c r="A111" s="18">
        <v>46256.01</v>
      </c>
      <c r="B111">
        <v>1</v>
      </c>
      <c r="C111" t="s">
        <v>522</v>
      </c>
      <c r="D111">
        <v>-7.9018706060555625E-5</v>
      </c>
      <c r="E111">
        <v>-0.81652662929240816</v>
      </c>
      <c r="F111" t="s">
        <v>268</v>
      </c>
      <c r="J111" s="18">
        <v>46256.01</v>
      </c>
      <c r="K111" t="s">
        <v>522</v>
      </c>
      <c r="L111" t="s">
        <v>155</v>
      </c>
      <c r="M111" t="s">
        <v>43</v>
      </c>
      <c r="N111">
        <v>175</v>
      </c>
      <c r="O111">
        <v>425</v>
      </c>
      <c r="P111">
        <v>2500</v>
      </c>
      <c r="Q111" t="s">
        <v>443</v>
      </c>
      <c r="R111">
        <v>50</v>
      </c>
      <c r="S111">
        <v>50</v>
      </c>
      <c r="U111">
        <v>0</v>
      </c>
      <c r="V111">
        <v>0</v>
      </c>
      <c r="W111">
        <v>0</v>
      </c>
      <c r="X111">
        <v>0</v>
      </c>
      <c r="Y111" t="s">
        <v>444</v>
      </c>
    </row>
    <row r="112" spans="1:25" x14ac:dyDescent="0.25">
      <c r="A112" s="18">
        <v>46256.01</v>
      </c>
      <c r="B112">
        <v>1</v>
      </c>
      <c r="C112" t="s">
        <v>523</v>
      </c>
      <c r="D112">
        <v>-5.9204975951579478E-5</v>
      </c>
      <c r="E112">
        <v>-0.61178475149965461</v>
      </c>
      <c r="F112" t="s">
        <v>268</v>
      </c>
      <c r="J112" s="18">
        <v>46256.01</v>
      </c>
      <c r="K112" t="s">
        <v>523</v>
      </c>
      <c r="L112" t="s">
        <v>155</v>
      </c>
      <c r="M112" t="s">
        <v>43</v>
      </c>
      <c r="N112">
        <v>225</v>
      </c>
      <c r="O112">
        <v>425</v>
      </c>
      <c r="P112">
        <v>2500</v>
      </c>
      <c r="Q112" t="s">
        <v>443</v>
      </c>
      <c r="R112">
        <v>50</v>
      </c>
      <c r="S112">
        <v>50</v>
      </c>
      <c r="U112">
        <v>0</v>
      </c>
      <c r="V112">
        <v>0</v>
      </c>
      <c r="W112">
        <v>0</v>
      </c>
      <c r="X112">
        <v>0</v>
      </c>
      <c r="Y112" t="s">
        <v>444</v>
      </c>
    </row>
    <row r="113" spans="1:25" x14ac:dyDescent="0.25">
      <c r="A113" s="18">
        <v>46256.01</v>
      </c>
      <c r="B113">
        <v>1</v>
      </c>
      <c r="C113" t="s">
        <v>524</v>
      </c>
      <c r="D113">
        <v>-1.068271313766621E-4</v>
      </c>
      <c r="E113">
        <v>-1.1038803575588416</v>
      </c>
      <c r="F113" t="s">
        <v>268</v>
      </c>
      <c r="J113" s="18">
        <v>46256.01</v>
      </c>
      <c r="K113" t="s">
        <v>524</v>
      </c>
      <c r="L113" t="s">
        <v>155</v>
      </c>
      <c r="M113" t="s">
        <v>43</v>
      </c>
      <c r="N113">
        <v>25</v>
      </c>
      <c r="O113">
        <v>475</v>
      </c>
      <c r="P113">
        <v>2500</v>
      </c>
      <c r="Q113" t="s">
        <v>443</v>
      </c>
      <c r="R113">
        <v>50</v>
      </c>
      <c r="S113">
        <v>50</v>
      </c>
      <c r="U113">
        <v>0</v>
      </c>
      <c r="V113">
        <v>0</v>
      </c>
      <c r="W113">
        <v>0</v>
      </c>
      <c r="X113">
        <v>0</v>
      </c>
      <c r="Y113" t="s">
        <v>444</v>
      </c>
    </row>
    <row r="114" spans="1:25" x14ac:dyDescent="0.25">
      <c r="A114" s="18">
        <v>46256.01</v>
      </c>
      <c r="B114">
        <v>1</v>
      </c>
      <c r="C114" t="s">
        <v>525</v>
      </c>
      <c r="D114">
        <v>-8.7013401267685937E-5</v>
      </c>
      <c r="E114">
        <v>-0.89913847976608796</v>
      </c>
      <c r="F114" t="s">
        <v>268</v>
      </c>
      <c r="J114" s="18">
        <v>46256.01</v>
      </c>
      <c r="K114" t="s">
        <v>525</v>
      </c>
      <c r="L114" t="s">
        <v>155</v>
      </c>
      <c r="M114" t="s">
        <v>43</v>
      </c>
      <c r="N114">
        <v>75</v>
      </c>
      <c r="O114">
        <v>475</v>
      </c>
      <c r="P114">
        <v>2500</v>
      </c>
      <c r="Q114" t="s">
        <v>443</v>
      </c>
      <c r="R114">
        <v>50</v>
      </c>
      <c r="S114">
        <v>50</v>
      </c>
      <c r="U114">
        <v>0</v>
      </c>
      <c r="V114">
        <v>0</v>
      </c>
      <c r="W114">
        <v>0</v>
      </c>
      <c r="X114">
        <v>0</v>
      </c>
      <c r="Y114" t="s">
        <v>444</v>
      </c>
    </row>
    <row r="115" spans="1:25" x14ac:dyDescent="0.25">
      <c r="A115" s="18">
        <v>46256.01</v>
      </c>
      <c r="B115">
        <v>1</v>
      </c>
      <c r="C115" t="s">
        <v>526</v>
      </c>
      <c r="D115">
        <v>-6.719967115870979E-5</v>
      </c>
      <c r="E115">
        <v>-0.69439660197333453</v>
      </c>
      <c r="F115" t="s">
        <v>268</v>
      </c>
      <c r="J115" s="18">
        <v>46256.01</v>
      </c>
      <c r="K115" t="s">
        <v>526</v>
      </c>
      <c r="L115" t="s">
        <v>155</v>
      </c>
      <c r="M115" t="s">
        <v>43</v>
      </c>
      <c r="N115">
        <v>125</v>
      </c>
      <c r="O115">
        <v>475</v>
      </c>
      <c r="P115">
        <v>2500</v>
      </c>
      <c r="Q115" t="s">
        <v>443</v>
      </c>
      <c r="R115">
        <v>50</v>
      </c>
      <c r="S115">
        <v>50</v>
      </c>
      <c r="U115">
        <v>0</v>
      </c>
      <c r="V115">
        <v>0</v>
      </c>
      <c r="W115">
        <v>0</v>
      </c>
      <c r="X115">
        <v>0</v>
      </c>
      <c r="Y115" t="s">
        <v>444</v>
      </c>
    </row>
    <row r="116" spans="1:25" x14ac:dyDescent="0.25">
      <c r="A116" s="18">
        <v>46256.01</v>
      </c>
      <c r="B116">
        <v>1</v>
      </c>
      <c r="C116" t="s">
        <v>527</v>
      </c>
      <c r="D116">
        <v>-4.738594104973363E-5</v>
      </c>
      <c r="E116">
        <v>-0.48965472418058081</v>
      </c>
      <c r="F116" t="s">
        <v>268</v>
      </c>
      <c r="J116" s="18">
        <v>46256.01</v>
      </c>
      <c r="K116" t="s">
        <v>527</v>
      </c>
      <c r="L116" t="s">
        <v>155</v>
      </c>
      <c r="M116" t="s">
        <v>43</v>
      </c>
      <c r="N116">
        <v>175</v>
      </c>
      <c r="O116">
        <v>475</v>
      </c>
      <c r="P116">
        <v>2500</v>
      </c>
      <c r="Q116" t="s">
        <v>443</v>
      </c>
      <c r="R116">
        <v>50</v>
      </c>
      <c r="S116">
        <v>50</v>
      </c>
      <c r="U116">
        <v>0</v>
      </c>
      <c r="V116">
        <v>0</v>
      </c>
      <c r="W116">
        <v>0</v>
      </c>
      <c r="X116">
        <v>0</v>
      </c>
      <c r="Y116" t="s">
        <v>444</v>
      </c>
    </row>
    <row r="117" spans="1:25" x14ac:dyDescent="0.25">
      <c r="A117" s="18">
        <v>46256.01</v>
      </c>
      <c r="B117">
        <v>1</v>
      </c>
      <c r="C117" t="s">
        <v>528</v>
      </c>
      <c r="D117">
        <v>-2.7572210940757479E-5</v>
      </c>
      <c r="E117">
        <v>-0.28491284638782727</v>
      </c>
      <c r="F117" t="s">
        <v>268</v>
      </c>
      <c r="J117" s="18">
        <v>46256.01</v>
      </c>
      <c r="K117" t="s">
        <v>528</v>
      </c>
      <c r="L117" t="s">
        <v>155</v>
      </c>
      <c r="M117" t="s">
        <v>43</v>
      </c>
      <c r="N117">
        <v>225</v>
      </c>
      <c r="O117">
        <v>475</v>
      </c>
      <c r="P117">
        <v>2500</v>
      </c>
      <c r="Q117" t="s">
        <v>443</v>
      </c>
      <c r="R117">
        <v>50</v>
      </c>
      <c r="S117">
        <v>50</v>
      </c>
      <c r="U117">
        <v>0</v>
      </c>
      <c r="V117">
        <v>0</v>
      </c>
      <c r="W117">
        <v>0</v>
      </c>
      <c r="X117">
        <v>0</v>
      </c>
      <c r="Y117" t="s">
        <v>444</v>
      </c>
    </row>
    <row r="118" spans="1:25" x14ac:dyDescent="0.25">
      <c r="A118" s="18">
        <v>46256.01</v>
      </c>
      <c r="B118">
        <v>1</v>
      </c>
      <c r="C118" t="s">
        <v>529</v>
      </c>
      <c r="D118">
        <v>-7.5194366365840103E-5</v>
      </c>
      <c r="E118">
        <v>-0.77700845244701433</v>
      </c>
      <c r="F118" t="s">
        <v>268</v>
      </c>
      <c r="J118" s="18">
        <v>46256.01</v>
      </c>
      <c r="K118" t="s">
        <v>529</v>
      </c>
      <c r="L118" t="s">
        <v>155</v>
      </c>
      <c r="M118" t="s">
        <v>43</v>
      </c>
      <c r="N118">
        <v>25</v>
      </c>
      <c r="O118">
        <v>525</v>
      </c>
      <c r="P118">
        <v>2500</v>
      </c>
      <c r="Q118" t="s">
        <v>443</v>
      </c>
      <c r="R118">
        <v>50</v>
      </c>
      <c r="S118">
        <v>50</v>
      </c>
      <c r="U118">
        <v>0</v>
      </c>
      <c r="V118">
        <v>0</v>
      </c>
      <c r="W118">
        <v>0</v>
      </c>
      <c r="X118">
        <v>0</v>
      </c>
      <c r="Y118" t="s">
        <v>444</v>
      </c>
    </row>
    <row r="119" spans="1:25" x14ac:dyDescent="0.25">
      <c r="A119" s="18">
        <v>46256.01</v>
      </c>
      <c r="B119">
        <v>1</v>
      </c>
      <c r="C119" t="s">
        <v>530</v>
      </c>
      <c r="D119">
        <v>-5.5380636256863942E-5</v>
      </c>
      <c r="E119">
        <v>-0.57226657465426067</v>
      </c>
      <c r="F119" t="s">
        <v>268</v>
      </c>
      <c r="J119" s="18">
        <v>46256.01</v>
      </c>
      <c r="K119" t="s">
        <v>530</v>
      </c>
      <c r="L119" t="s">
        <v>155</v>
      </c>
      <c r="M119" t="s">
        <v>43</v>
      </c>
      <c r="N119">
        <v>75</v>
      </c>
      <c r="O119">
        <v>525</v>
      </c>
      <c r="P119">
        <v>2500</v>
      </c>
      <c r="Q119" t="s">
        <v>443</v>
      </c>
      <c r="R119">
        <v>50</v>
      </c>
      <c r="S119">
        <v>50</v>
      </c>
      <c r="U119">
        <v>0</v>
      </c>
      <c r="V119">
        <v>0</v>
      </c>
      <c r="W119">
        <v>0</v>
      </c>
      <c r="X119">
        <v>0</v>
      </c>
      <c r="Y119" t="s">
        <v>444</v>
      </c>
    </row>
    <row r="120" spans="1:25" x14ac:dyDescent="0.25">
      <c r="A120" s="18">
        <v>46256.01</v>
      </c>
      <c r="B120">
        <v>1</v>
      </c>
      <c r="C120" t="s">
        <v>531</v>
      </c>
      <c r="D120">
        <v>-3.5566906147887788E-5</v>
      </c>
      <c r="E120">
        <v>-0.36752469686150713</v>
      </c>
      <c r="F120" t="s">
        <v>268</v>
      </c>
      <c r="J120" s="18">
        <v>46256.01</v>
      </c>
      <c r="K120" t="s">
        <v>531</v>
      </c>
      <c r="L120" t="s">
        <v>155</v>
      </c>
      <c r="M120" t="s">
        <v>43</v>
      </c>
      <c r="N120">
        <v>125</v>
      </c>
      <c r="O120">
        <v>525</v>
      </c>
      <c r="P120">
        <v>2500</v>
      </c>
      <c r="Q120" t="s">
        <v>443</v>
      </c>
      <c r="R120">
        <v>50</v>
      </c>
      <c r="S120">
        <v>50</v>
      </c>
      <c r="U120">
        <v>0</v>
      </c>
      <c r="V120">
        <v>0</v>
      </c>
      <c r="W120">
        <v>0</v>
      </c>
      <c r="X120">
        <v>0</v>
      </c>
      <c r="Y120" t="s">
        <v>444</v>
      </c>
    </row>
    <row r="121" spans="1:25" x14ac:dyDescent="0.25">
      <c r="A121" s="18">
        <v>46256.01</v>
      </c>
      <c r="B121">
        <v>1</v>
      </c>
      <c r="C121" t="s">
        <v>532</v>
      </c>
      <c r="D121">
        <v>-1.5753176038911634E-5</v>
      </c>
      <c r="E121">
        <v>-0.16278281906875355</v>
      </c>
      <c r="F121" t="s">
        <v>268</v>
      </c>
      <c r="J121" s="18">
        <v>46256.01</v>
      </c>
      <c r="K121" t="s">
        <v>532</v>
      </c>
      <c r="L121" t="s">
        <v>155</v>
      </c>
      <c r="M121" t="s">
        <v>43</v>
      </c>
      <c r="N121">
        <v>175</v>
      </c>
      <c r="O121">
        <v>525</v>
      </c>
      <c r="P121">
        <v>2500</v>
      </c>
      <c r="Q121" t="s">
        <v>443</v>
      </c>
      <c r="R121">
        <v>50</v>
      </c>
      <c r="S121">
        <v>50</v>
      </c>
      <c r="U121">
        <v>0</v>
      </c>
      <c r="V121">
        <v>0</v>
      </c>
      <c r="W121">
        <v>0</v>
      </c>
      <c r="X121">
        <v>0</v>
      </c>
      <c r="Y121" t="s">
        <v>444</v>
      </c>
    </row>
    <row r="122" spans="1:25" x14ac:dyDescent="0.25">
      <c r="A122" s="18">
        <v>46256.01</v>
      </c>
      <c r="B122">
        <v>1</v>
      </c>
      <c r="C122" t="s">
        <v>533</v>
      </c>
      <c r="D122">
        <v>4.0605540700645187E-6</v>
      </c>
      <c r="E122">
        <v>0</v>
      </c>
      <c r="F122" t="s">
        <v>599</v>
      </c>
      <c r="J122" s="18">
        <v>46256.01</v>
      </c>
      <c r="K122" t="s">
        <v>533</v>
      </c>
      <c r="L122" t="s">
        <v>155</v>
      </c>
      <c r="M122" t="s">
        <v>43</v>
      </c>
      <c r="N122">
        <v>225</v>
      </c>
      <c r="O122">
        <v>525</v>
      </c>
      <c r="P122">
        <v>2500</v>
      </c>
      <c r="Q122" t="s">
        <v>443</v>
      </c>
      <c r="R122">
        <v>50</v>
      </c>
      <c r="S122">
        <v>50</v>
      </c>
      <c r="U122">
        <v>0</v>
      </c>
      <c r="V122">
        <v>0</v>
      </c>
      <c r="W122">
        <v>0</v>
      </c>
      <c r="X122">
        <v>0</v>
      </c>
      <c r="Y122" t="s">
        <v>444</v>
      </c>
    </row>
    <row r="123" spans="1:25" x14ac:dyDescent="0.25">
      <c r="A123" s="18">
        <v>46256.01</v>
      </c>
      <c r="B123">
        <v>1</v>
      </c>
      <c r="C123" t="s">
        <v>534</v>
      </c>
      <c r="D123">
        <v>-4.3561601355018101E-5</v>
      </c>
      <c r="E123">
        <v>-0.45013654733518704</v>
      </c>
      <c r="F123" t="s">
        <v>268</v>
      </c>
      <c r="J123" s="18">
        <v>46256.01</v>
      </c>
      <c r="K123" t="s">
        <v>534</v>
      </c>
      <c r="L123" t="s">
        <v>155</v>
      </c>
      <c r="M123" t="s">
        <v>43</v>
      </c>
      <c r="N123">
        <v>25</v>
      </c>
      <c r="O123">
        <v>575</v>
      </c>
      <c r="P123">
        <v>2500</v>
      </c>
      <c r="Q123" t="s">
        <v>443</v>
      </c>
      <c r="R123">
        <v>50</v>
      </c>
      <c r="S123">
        <v>50</v>
      </c>
      <c r="U123">
        <v>0</v>
      </c>
      <c r="V123">
        <v>0</v>
      </c>
      <c r="W123">
        <v>0</v>
      </c>
      <c r="X123">
        <v>0</v>
      </c>
      <c r="Y123" t="s">
        <v>444</v>
      </c>
    </row>
    <row r="124" spans="1:25" x14ac:dyDescent="0.25">
      <c r="A124" s="18">
        <v>46256.01</v>
      </c>
      <c r="B124">
        <v>1</v>
      </c>
      <c r="C124" t="s">
        <v>535</v>
      </c>
      <c r="D124">
        <v>-2.3747871246041947E-5</v>
      </c>
      <c r="E124">
        <v>-0.24539466954243344</v>
      </c>
      <c r="F124" t="s">
        <v>268</v>
      </c>
      <c r="J124" s="18">
        <v>46256.01</v>
      </c>
      <c r="K124" t="s">
        <v>535</v>
      </c>
      <c r="L124" t="s">
        <v>155</v>
      </c>
      <c r="M124" t="s">
        <v>43</v>
      </c>
      <c r="N124">
        <v>75</v>
      </c>
      <c r="O124">
        <v>575</v>
      </c>
      <c r="P124">
        <v>2500</v>
      </c>
      <c r="Q124" t="s">
        <v>443</v>
      </c>
      <c r="R124">
        <v>50</v>
      </c>
      <c r="S124">
        <v>50</v>
      </c>
      <c r="U124">
        <v>0</v>
      </c>
      <c r="V124">
        <v>0</v>
      </c>
      <c r="W124">
        <v>0</v>
      </c>
      <c r="X124">
        <v>0</v>
      </c>
      <c r="Y124" t="s">
        <v>444</v>
      </c>
    </row>
    <row r="125" spans="1:25" x14ac:dyDescent="0.25">
      <c r="A125" s="18">
        <v>46256.01</v>
      </c>
      <c r="B125">
        <v>1</v>
      </c>
      <c r="C125" t="s">
        <v>536</v>
      </c>
      <c r="D125">
        <v>-3.9341411370657922E-6</v>
      </c>
      <c r="E125">
        <v>-4.0652791749679854E-2</v>
      </c>
      <c r="F125" t="s">
        <v>268</v>
      </c>
      <c r="J125" s="18">
        <v>46256.01</v>
      </c>
      <c r="K125" t="s">
        <v>536</v>
      </c>
      <c r="L125" t="s">
        <v>155</v>
      </c>
      <c r="M125" t="s">
        <v>43</v>
      </c>
      <c r="N125">
        <v>125</v>
      </c>
      <c r="O125">
        <v>575</v>
      </c>
      <c r="P125">
        <v>2500</v>
      </c>
      <c r="Q125" t="s">
        <v>443</v>
      </c>
      <c r="R125">
        <v>50</v>
      </c>
      <c r="S125">
        <v>50</v>
      </c>
      <c r="U125">
        <v>0</v>
      </c>
      <c r="V125">
        <v>0</v>
      </c>
      <c r="W125">
        <v>0</v>
      </c>
      <c r="X125">
        <v>0</v>
      </c>
      <c r="Y125" t="s">
        <v>444</v>
      </c>
    </row>
    <row r="126" spans="1:25" x14ac:dyDescent="0.25">
      <c r="A126" s="18">
        <v>46256.01</v>
      </c>
      <c r="B126">
        <v>1</v>
      </c>
      <c r="C126" t="s">
        <v>537</v>
      </c>
      <c r="D126">
        <v>1.5879588971910361E-5</v>
      </c>
      <c r="E126">
        <v>0</v>
      </c>
      <c r="F126" t="s">
        <v>599</v>
      </c>
      <c r="J126" s="18">
        <v>46256.01</v>
      </c>
      <c r="K126" t="s">
        <v>537</v>
      </c>
      <c r="L126" t="s">
        <v>155</v>
      </c>
      <c r="M126" t="s">
        <v>43</v>
      </c>
      <c r="N126">
        <v>175</v>
      </c>
      <c r="O126">
        <v>575</v>
      </c>
      <c r="P126">
        <v>2500</v>
      </c>
      <c r="Q126" t="s">
        <v>443</v>
      </c>
      <c r="R126">
        <v>50</v>
      </c>
      <c r="S126">
        <v>50</v>
      </c>
      <c r="U126">
        <v>0</v>
      </c>
      <c r="V126">
        <v>0</v>
      </c>
      <c r="W126">
        <v>0</v>
      </c>
      <c r="X126">
        <v>0</v>
      </c>
      <c r="Y126" t="s">
        <v>444</v>
      </c>
    </row>
    <row r="127" spans="1:25" x14ac:dyDescent="0.25">
      <c r="A127" s="18">
        <v>46256.01</v>
      </c>
      <c r="B127">
        <v>1</v>
      </c>
      <c r="C127" t="s">
        <v>538</v>
      </c>
      <c r="D127">
        <v>3.5693319080886515E-5</v>
      </c>
      <c r="E127">
        <v>0</v>
      </c>
      <c r="F127" t="s">
        <v>599</v>
      </c>
      <c r="J127" s="18">
        <v>46256.01</v>
      </c>
      <c r="K127" t="s">
        <v>538</v>
      </c>
      <c r="L127" t="s">
        <v>155</v>
      </c>
      <c r="M127" t="s">
        <v>43</v>
      </c>
      <c r="N127">
        <v>225</v>
      </c>
      <c r="O127">
        <v>575</v>
      </c>
      <c r="P127">
        <v>2500</v>
      </c>
      <c r="Q127" t="s">
        <v>443</v>
      </c>
      <c r="R127">
        <v>50</v>
      </c>
      <c r="S127">
        <v>50</v>
      </c>
      <c r="U127">
        <v>0</v>
      </c>
      <c r="V127">
        <v>0</v>
      </c>
      <c r="W127">
        <v>0</v>
      </c>
      <c r="X127">
        <v>0</v>
      </c>
      <c r="Y127" t="s">
        <v>444</v>
      </c>
    </row>
    <row r="128" spans="1:25" x14ac:dyDescent="0.25">
      <c r="A128" s="18">
        <v>46256.01</v>
      </c>
      <c r="B128">
        <v>1</v>
      </c>
      <c r="C128" t="s">
        <v>539</v>
      </c>
      <c r="D128">
        <v>-1.1928836344196102E-5</v>
      </c>
      <c r="E128">
        <v>-0.12326464222335973</v>
      </c>
      <c r="F128" t="s">
        <v>268</v>
      </c>
      <c r="J128" s="18">
        <v>46256.01</v>
      </c>
      <c r="K128" t="s">
        <v>539</v>
      </c>
      <c r="L128" t="s">
        <v>155</v>
      </c>
      <c r="M128" t="s">
        <v>43</v>
      </c>
      <c r="N128">
        <v>25</v>
      </c>
      <c r="O128">
        <v>625</v>
      </c>
      <c r="P128">
        <v>2500</v>
      </c>
      <c r="Q128" t="s">
        <v>443</v>
      </c>
      <c r="R128">
        <v>50</v>
      </c>
      <c r="S128">
        <v>50</v>
      </c>
      <c r="U128">
        <v>0</v>
      </c>
      <c r="V128">
        <v>0</v>
      </c>
      <c r="W128">
        <v>0</v>
      </c>
      <c r="X128">
        <v>0</v>
      </c>
      <c r="Y128" t="s">
        <v>444</v>
      </c>
    </row>
    <row r="129" spans="1:25" x14ac:dyDescent="0.25">
      <c r="A129" s="18">
        <v>46256.01</v>
      </c>
      <c r="B129">
        <v>1</v>
      </c>
      <c r="C129" t="s">
        <v>540</v>
      </c>
      <c r="D129">
        <v>7.8848937647800516E-6</v>
      </c>
      <c r="E129">
        <v>0</v>
      </c>
      <c r="F129" t="s">
        <v>599</v>
      </c>
      <c r="J129" s="18">
        <v>46256.01</v>
      </c>
      <c r="K129" t="s">
        <v>540</v>
      </c>
      <c r="L129" t="s">
        <v>155</v>
      </c>
      <c r="M129" t="s">
        <v>43</v>
      </c>
      <c r="N129">
        <v>75</v>
      </c>
      <c r="O129">
        <v>625</v>
      </c>
      <c r="P129">
        <v>2500</v>
      </c>
      <c r="Q129" t="s">
        <v>443</v>
      </c>
      <c r="R129">
        <v>50</v>
      </c>
      <c r="S129">
        <v>50</v>
      </c>
      <c r="U129">
        <v>0</v>
      </c>
      <c r="V129">
        <v>0</v>
      </c>
      <c r="W129">
        <v>0</v>
      </c>
      <c r="X129">
        <v>0</v>
      </c>
      <c r="Y129" t="s">
        <v>444</v>
      </c>
    </row>
    <row r="130" spans="1:25" x14ac:dyDescent="0.25">
      <c r="A130" s="18">
        <v>46256.01</v>
      </c>
      <c r="B130">
        <v>1</v>
      </c>
      <c r="C130" t="s">
        <v>541</v>
      </c>
      <c r="D130">
        <v>2.7698623873756206E-5</v>
      </c>
      <c r="E130">
        <v>0</v>
      </c>
      <c r="F130" t="s">
        <v>599</v>
      </c>
      <c r="J130" s="18">
        <v>46256.01</v>
      </c>
      <c r="K130" t="s">
        <v>541</v>
      </c>
      <c r="L130" t="s">
        <v>155</v>
      </c>
      <c r="M130" t="s">
        <v>43</v>
      </c>
      <c r="N130">
        <v>125</v>
      </c>
      <c r="O130">
        <v>625</v>
      </c>
      <c r="P130">
        <v>2500</v>
      </c>
      <c r="Q130" t="s">
        <v>443</v>
      </c>
      <c r="R130">
        <v>50</v>
      </c>
      <c r="S130">
        <v>50</v>
      </c>
      <c r="U130">
        <v>0</v>
      </c>
      <c r="V130">
        <v>0</v>
      </c>
      <c r="W130">
        <v>0</v>
      </c>
      <c r="X130">
        <v>0</v>
      </c>
      <c r="Y130" t="s">
        <v>444</v>
      </c>
    </row>
    <row r="131" spans="1:25" x14ac:dyDescent="0.25">
      <c r="A131" s="18">
        <v>46256.01</v>
      </c>
      <c r="B131">
        <v>1</v>
      </c>
      <c r="C131" t="s">
        <v>542</v>
      </c>
      <c r="D131">
        <v>4.7512353982732356E-5</v>
      </c>
      <c r="E131">
        <v>0</v>
      </c>
      <c r="F131" t="s">
        <v>599</v>
      </c>
      <c r="J131" s="18">
        <v>46256.01</v>
      </c>
      <c r="K131" t="s">
        <v>542</v>
      </c>
      <c r="L131" t="s">
        <v>155</v>
      </c>
      <c r="M131" t="s">
        <v>43</v>
      </c>
      <c r="N131">
        <v>175</v>
      </c>
      <c r="O131">
        <v>625</v>
      </c>
      <c r="P131">
        <v>2500</v>
      </c>
      <c r="Q131" t="s">
        <v>443</v>
      </c>
      <c r="R131">
        <v>50</v>
      </c>
      <c r="S131">
        <v>50</v>
      </c>
      <c r="U131">
        <v>0</v>
      </c>
      <c r="V131">
        <v>0</v>
      </c>
      <c r="W131">
        <v>0</v>
      </c>
      <c r="X131">
        <v>0</v>
      </c>
      <c r="Y131" t="s">
        <v>444</v>
      </c>
    </row>
    <row r="132" spans="1:25" x14ac:dyDescent="0.25">
      <c r="A132" s="18">
        <v>46256.01</v>
      </c>
      <c r="B132">
        <v>1</v>
      </c>
      <c r="C132" t="s">
        <v>543</v>
      </c>
      <c r="D132">
        <v>6.7326084091708517E-5</v>
      </c>
      <c r="E132">
        <v>0</v>
      </c>
      <c r="F132" t="s">
        <v>599</v>
      </c>
      <c r="J132" s="18">
        <v>46256.01</v>
      </c>
      <c r="K132" t="s">
        <v>543</v>
      </c>
      <c r="L132" t="s">
        <v>155</v>
      </c>
      <c r="M132" t="s">
        <v>43</v>
      </c>
      <c r="N132">
        <v>225</v>
      </c>
      <c r="O132">
        <v>625</v>
      </c>
      <c r="P132">
        <v>2500</v>
      </c>
      <c r="Q132" t="s">
        <v>443</v>
      </c>
      <c r="R132">
        <v>50</v>
      </c>
      <c r="S132">
        <v>50</v>
      </c>
      <c r="U132">
        <v>0</v>
      </c>
      <c r="V132">
        <v>0</v>
      </c>
      <c r="W132">
        <v>0</v>
      </c>
      <c r="X132">
        <v>0</v>
      </c>
      <c r="Y132" t="s">
        <v>444</v>
      </c>
    </row>
    <row r="133" spans="1:25" x14ac:dyDescent="0.25">
      <c r="A133" s="18">
        <v>46256.01</v>
      </c>
      <c r="B133">
        <v>1</v>
      </c>
      <c r="C133" t="s">
        <v>544</v>
      </c>
      <c r="D133">
        <v>1.9703928666625893E-5</v>
      </c>
      <c r="E133">
        <v>0</v>
      </c>
      <c r="F133" t="s">
        <v>599</v>
      </c>
      <c r="J133" s="18">
        <v>46256.01</v>
      </c>
      <c r="K133" t="s">
        <v>544</v>
      </c>
      <c r="L133" t="s">
        <v>155</v>
      </c>
      <c r="M133" t="s">
        <v>43</v>
      </c>
      <c r="N133">
        <v>25</v>
      </c>
      <c r="O133">
        <v>675</v>
      </c>
      <c r="P133">
        <v>2500</v>
      </c>
      <c r="Q133" t="s">
        <v>443</v>
      </c>
      <c r="R133">
        <v>50</v>
      </c>
      <c r="S133">
        <v>50</v>
      </c>
      <c r="U133">
        <v>0</v>
      </c>
      <c r="V133">
        <v>0</v>
      </c>
      <c r="W133">
        <v>0</v>
      </c>
      <c r="X133">
        <v>0</v>
      </c>
      <c r="Y133" t="s">
        <v>444</v>
      </c>
    </row>
    <row r="134" spans="1:25" x14ac:dyDescent="0.25">
      <c r="A134" s="18">
        <v>46256.01</v>
      </c>
      <c r="B134">
        <v>1</v>
      </c>
      <c r="C134" t="s">
        <v>545</v>
      </c>
      <c r="D134">
        <v>3.951765877560205E-5</v>
      </c>
      <c r="E134">
        <v>0</v>
      </c>
      <c r="F134" t="s">
        <v>599</v>
      </c>
      <c r="J134" s="18">
        <v>46256.01</v>
      </c>
      <c r="K134" t="s">
        <v>545</v>
      </c>
      <c r="L134" t="s">
        <v>155</v>
      </c>
      <c r="M134" t="s">
        <v>43</v>
      </c>
      <c r="N134">
        <v>75</v>
      </c>
      <c r="O134">
        <v>675</v>
      </c>
      <c r="P134">
        <v>2500</v>
      </c>
      <c r="Q134" t="s">
        <v>443</v>
      </c>
      <c r="R134">
        <v>50</v>
      </c>
      <c r="S134">
        <v>50</v>
      </c>
      <c r="U134">
        <v>0</v>
      </c>
      <c r="V134">
        <v>0</v>
      </c>
      <c r="W134">
        <v>0</v>
      </c>
      <c r="X134">
        <v>0</v>
      </c>
      <c r="Y134" t="s">
        <v>444</v>
      </c>
    </row>
    <row r="135" spans="1:25" x14ac:dyDescent="0.25">
      <c r="A135" s="18">
        <v>46256.01</v>
      </c>
      <c r="B135">
        <v>1</v>
      </c>
      <c r="C135" t="s">
        <v>546</v>
      </c>
      <c r="D135">
        <v>5.9331388884578204E-5</v>
      </c>
      <c r="E135">
        <v>0</v>
      </c>
      <c r="F135" t="s">
        <v>599</v>
      </c>
      <c r="J135" s="18">
        <v>46256.01</v>
      </c>
      <c r="K135" t="s">
        <v>546</v>
      </c>
      <c r="L135" t="s">
        <v>155</v>
      </c>
      <c r="M135" t="s">
        <v>43</v>
      </c>
      <c r="N135">
        <v>125</v>
      </c>
      <c r="O135">
        <v>675</v>
      </c>
      <c r="P135">
        <v>2500</v>
      </c>
      <c r="Q135" t="s">
        <v>443</v>
      </c>
      <c r="R135">
        <v>50</v>
      </c>
      <c r="S135">
        <v>50</v>
      </c>
      <c r="U135">
        <v>0</v>
      </c>
      <c r="V135">
        <v>0</v>
      </c>
      <c r="W135">
        <v>0</v>
      </c>
      <c r="X135">
        <v>0</v>
      </c>
      <c r="Y135" t="s">
        <v>444</v>
      </c>
    </row>
    <row r="136" spans="1:25" x14ac:dyDescent="0.25">
      <c r="A136" s="18">
        <v>46256.01</v>
      </c>
      <c r="B136">
        <v>1</v>
      </c>
      <c r="C136" t="s">
        <v>547</v>
      </c>
      <c r="D136">
        <v>7.9145118993554351E-5</v>
      </c>
      <c r="E136">
        <v>0</v>
      </c>
      <c r="F136" t="s">
        <v>599</v>
      </c>
      <c r="J136" s="18">
        <v>46256.01</v>
      </c>
      <c r="K136" t="s">
        <v>547</v>
      </c>
      <c r="L136" t="s">
        <v>155</v>
      </c>
      <c r="M136" t="s">
        <v>43</v>
      </c>
      <c r="N136">
        <v>175</v>
      </c>
      <c r="O136">
        <v>675</v>
      </c>
      <c r="P136">
        <v>2500</v>
      </c>
      <c r="Q136" t="s">
        <v>443</v>
      </c>
      <c r="R136">
        <v>50</v>
      </c>
      <c r="S136">
        <v>50</v>
      </c>
      <c r="U136">
        <v>0</v>
      </c>
      <c r="V136">
        <v>0</v>
      </c>
      <c r="W136">
        <v>0</v>
      </c>
      <c r="X136">
        <v>0</v>
      </c>
      <c r="Y136" t="s">
        <v>444</v>
      </c>
    </row>
    <row r="137" spans="1:25" x14ac:dyDescent="0.25">
      <c r="A137" s="18">
        <v>46256.01</v>
      </c>
      <c r="B137">
        <v>1</v>
      </c>
      <c r="C137" t="s">
        <v>548</v>
      </c>
      <c r="D137">
        <v>9.8958849102530512E-5</v>
      </c>
      <c r="E137">
        <v>0</v>
      </c>
      <c r="F137" t="s">
        <v>599</v>
      </c>
      <c r="J137" s="18">
        <v>46256.01</v>
      </c>
      <c r="K137" t="s">
        <v>548</v>
      </c>
      <c r="L137" t="s">
        <v>155</v>
      </c>
      <c r="M137" t="s">
        <v>43</v>
      </c>
      <c r="N137">
        <v>225</v>
      </c>
      <c r="O137">
        <v>675</v>
      </c>
      <c r="P137">
        <v>2500</v>
      </c>
      <c r="Q137" t="s">
        <v>443</v>
      </c>
      <c r="R137">
        <v>50</v>
      </c>
      <c r="S137">
        <v>50</v>
      </c>
      <c r="U137">
        <v>0</v>
      </c>
      <c r="V137">
        <v>0</v>
      </c>
      <c r="W137">
        <v>0</v>
      </c>
      <c r="X137">
        <v>0</v>
      </c>
      <c r="Y137" t="s">
        <v>444</v>
      </c>
    </row>
    <row r="138" spans="1:25" x14ac:dyDescent="0.25">
      <c r="A138" s="18">
        <v>46256.01</v>
      </c>
      <c r="B138">
        <v>1</v>
      </c>
      <c r="C138" t="s">
        <v>549</v>
      </c>
      <c r="D138">
        <v>5.1336693677447891E-5</v>
      </c>
      <c r="E138">
        <v>0</v>
      </c>
      <c r="F138" t="s">
        <v>599</v>
      </c>
      <c r="J138" s="18">
        <v>46256.01</v>
      </c>
      <c r="K138" t="s">
        <v>549</v>
      </c>
      <c r="L138" t="s">
        <v>155</v>
      </c>
      <c r="M138" t="s">
        <v>43</v>
      </c>
      <c r="N138">
        <v>25</v>
      </c>
      <c r="O138">
        <v>725</v>
      </c>
      <c r="P138">
        <v>2500</v>
      </c>
      <c r="Q138" t="s">
        <v>443</v>
      </c>
      <c r="R138">
        <v>50</v>
      </c>
      <c r="S138">
        <v>50</v>
      </c>
      <c r="U138">
        <v>0</v>
      </c>
      <c r="V138">
        <v>0</v>
      </c>
      <c r="W138">
        <v>0</v>
      </c>
      <c r="X138">
        <v>0</v>
      </c>
      <c r="Y138" t="s">
        <v>444</v>
      </c>
    </row>
    <row r="139" spans="1:25" x14ac:dyDescent="0.25">
      <c r="A139" s="18">
        <v>46256.01</v>
      </c>
      <c r="B139">
        <v>1</v>
      </c>
      <c r="C139" t="s">
        <v>550</v>
      </c>
      <c r="D139">
        <v>7.1150423786424052E-5</v>
      </c>
      <c r="E139">
        <v>0</v>
      </c>
      <c r="F139" t="s">
        <v>599</v>
      </c>
      <c r="J139" s="18">
        <v>46256.01</v>
      </c>
      <c r="K139" t="s">
        <v>550</v>
      </c>
      <c r="L139" t="s">
        <v>155</v>
      </c>
      <c r="M139" t="s">
        <v>43</v>
      </c>
      <c r="N139">
        <v>75</v>
      </c>
      <c r="O139">
        <v>725</v>
      </c>
      <c r="P139">
        <v>2500</v>
      </c>
      <c r="Q139" t="s">
        <v>443</v>
      </c>
      <c r="R139">
        <v>50</v>
      </c>
      <c r="S139">
        <v>50</v>
      </c>
      <c r="U139">
        <v>0</v>
      </c>
      <c r="V139">
        <v>0</v>
      </c>
      <c r="W139">
        <v>0</v>
      </c>
      <c r="X139">
        <v>0</v>
      </c>
      <c r="Y139" t="s">
        <v>444</v>
      </c>
    </row>
    <row r="140" spans="1:25" x14ac:dyDescent="0.25">
      <c r="A140" s="18">
        <v>46256.01</v>
      </c>
      <c r="B140">
        <v>1</v>
      </c>
      <c r="C140" t="s">
        <v>551</v>
      </c>
      <c r="D140">
        <v>9.0964153895400199E-5</v>
      </c>
      <c r="E140">
        <v>0</v>
      </c>
      <c r="F140" t="s">
        <v>599</v>
      </c>
      <c r="J140" s="18">
        <v>46256.01</v>
      </c>
      <c r="K140" t="s">
        <v>551</v>
      </c>
      <c r="L140" t="s">
        <v>155</v>
      </c>
      <c r="M140" t="s">
        <v>43</v>
      </c>
      <c r="N140">
        <v>125</v>
      </c>
      <c r="O140">
        <v>725</v>
      </c>
      <c r="P140">
        <v>2500</v>
      </c>
      <c r="Q140" t="s">
        <v>443</v>
      </c>
      <c r="R140">
        <v>50</v>
      </c>
      <c r="S140">
        <v>50</v>
      </c>
      <c r="U140">
        <v>0</v>
      </c>
      <c r="V140">
        <v>0</v>
      </c>
      <c r="W140">
        <v>0</v>
      </c>
      <c r="X140">
        <v>0</v>
      </c>
      <c r="Y140" t="s">
        <v>444</v>
      </c>
    </row>
    <row r="141" spans="1:25" x14ac:dyDescent="0.25">
      <c r="A141" s="18">
        <v>46256.01</v>
      </c>
      <c r="B141">
        <v>1</v>
      </c>
      <c r="C141" t="s">
        <v>552</v>
      </c>
      <c r="D141">
        <v>1.1077788400437636E-4</v>
      </c>
      <c r="E141">
        <v>0</v>
      </c>
      <c r="F141" t="s">
        <v>599</v>
      </c>
      <c r="J141" s="18">
        <v>46256.01</v>
      </c>
      <c r="K141" t="s">
        <v>552</v>
      </c>
      <c r="L141" t="s">
        <v>155</v>
      </c>
      <c r="M141" t="s">
        <v>43</v>
      </c>
      <c r="N141">
        <v>175</v>
      </c>
      <c r="O141">
        <v>725</v>
      </c>
      <c r="P141">
        <v>2500</v>
      </c>
      <c r="Q141" t="s">
        <v>443</v>
      </c>
      <c r="R141">
        <v>50</v>
      </c>
      <c r="S141">
        <v>50</v>
      </c>
      <c r="U141">
        <v>0</v>
      </c>
      <c r="V141">
        <v>0</v>
      </c>
      <c r="W141">
        <v>0</v>
      </c>
      <c r="X141">
        <v>0</v>
      </c>
      <c r="Y141" t="s">
        <v>444</v>
      </c>
    </row>
    <row r="142" spans="1:25" x14ac:dyDescent="0.25">
      <c r="A142" s="18">
        <v>46256.01</v>
      </c>
      <c r="B142">
        <v>1</v>
      </c>
      <c r="C142" t="s">
        <v>553</v>
      </c>
      <c r="D142">
        <v>1.3059161411335251E-4</v>
      </c>
      <c r="E142">
        <v>0</v>
      </c>
      <c r="F142" t="s">
        <v>599</v>
      </c>
      <c r="J142" s="18">
        <v>46256.01</v>
      </c>
      <c r="K142" t="s">
        <v>553</v>
      </c>
      <c r="L142" t="s">
        <v>155</v>
      </c>
      <c r="M142" t="s">
        <v>43</v>
      </c>
      <c r="N142">
        <v>225</v>
      </c>
      <c r="O142">
        <v>725</v>
      </c>
      <c r="P142">
        <v>2500</v>
      </c>
      <c r="Q142" t="s">
        <v>443</v>
      </c>
      <c r="R142">
        <v>50</v>
      </c>
      <c r="S142">
        <v>50</v>
      </c>
      <c r="U142">
        <v>0</v>
      </c>
      <c r="V142">
        <v>0</v>
      </c>
      <c r="W142">
        <v>0</v>
      </c>
      <c r="X142">
        <v>0</v>
      </c>
      <c r="Y142" t="s">
        <v>444</v>
      </c>
    </row>
    <row r="143" spans="1:25" x14ac:dyDescent="0.25">
      <c r="A143" s="18">
        <v>46256.01</v>
      </c>
      <c r="B143">
        <v>1</v>
      </c>
      <c r="C143" t="s">
        <v>554</v>
      </c>
      <c r="D143">
        <v>8.2969458688269887E-5</v>
      </c>
      <c r="E143">
        <v>0</v>
      </c>
      <c r="F143" t="s">
        <v>599</v>
      </c>
      <c r="J143" s="18">
        <v>46256.01</v>
      </c>
      <c r="K143" t="s">
        <v>554</v>
      </c>
      <c r="L143" t="s">
        <v>155</v>
      </c>
      <c r="M143" t="s">
        <v>43</v>
      </c>
      <c r="N143">
        <v>25</v>
      </c>
      <c r="O143">
        <v>775</v>
      </c>
      <c r="P143">
        <v>2500</v>
      </c>
      <c r="Q143" t="s">
        <v>443</v>
      </c>
      <c r="R143">
        <v>50</v>
      </c>
      <c r="S143">
        <v>50</v>
      </c>
      <c r="U143">
        <v>0</v>
      </c>
      <c r="V143">
        <v>0</v>
      </c>
      <c r="W143">
        <v>0</v>
      </c>
      <c r="X143">
        <v>0</v>
      </c>
      <c r="Y143" t="s">
        <v>444</v>
      </c>
    </row>
    <row r="144" spans="1:25" x14ac:dyDescent="0.25">
      <c r="A144" s="18">
        <v>46256.01</v>
      </c>
      <c r="B144">
        <v>1</v>
      </c>
      <c r="C144" t="s">
        <v>555</v>
      </c>
      <c r="D144">
        <v>1.0278318879724605E-4</v>
      </c>
      <c r="E144">
        <v>0</v>
      </c>
      <c r="F144" t="s">
        <v>599</v>
      </c>
      <c r="J144" s="18">
        <v>46256.01</v>
      </c>
      <c r="K144" t="s">
        <v>555</v>
      </c>
      <c r="L144" t="s">
        <v>155</v>
      </c>
      <c r="M144" t="s">
        <v>43</v>
      </c>
      <c r="N144">
        <v>75</v>
      </c>
      <c r="O144">
        <v>775</v>
      </c>
      <c r="P144">
        <v>2500</v>
      </c>
      <c r="Q144" t="s">
        <v>443</v>
      </c>
      <c r="R144">
        <v>50</v>
      </c>
      <c r="S144">
        <v>50</v>
      </c>
      <c r="U144">
        <v>0</v>
      </c>
      <c r="V144">
        <v>0</v>
      </c>
      <c r="W144">
        <v>0</v>
      </c>
      <c r="X144">
        <v>0</v>
      </c>
      <c r="Y144" t="s">
        <v>444</v>
      </c>
    </row>
    <row r="145" spans="1:25" x14ac:dyDescent="0.25">
      <c r="A145" s="18">
        <v>46256.01</v>
      </c>
      <c r="B145">
        <v>1</v>
      </c>
      <c r="C145" t="s">
        <v>556</v>
      </c>
      <c r="D145">
        <v>1.2259691890622221E-4</v>
      </c>
      <c r="E145">
        <v>0</v>
      </c>
      <c r="F145" t="s">
        <v>599</v>
      </c>
      <c r="J145" s="18">
        <v>46256.01</v>
      </c>
      <c r="K145" t="s">
        <v>556</v>
      </c>
      <c r="L145" t="s">
        <v>155</v>
      </c>
      <c r="M145" t="s">
        <v>43</v>
      </c>
      <c r="N145">
        <v>125</v>
      </c>
      <c r="O145">
        <v>775</v>
      </c>
      <c r="P145">
        <v>2500</v>
      </c>
      <c r="Q145" t="s">
        <v>443</v>
      </c>
      <c r="R145">
        <v>50</v>
      </c>
      <c r="S145">
        <v>50</v>
      </c>
      <c r="U145">
        <v>0</v>
      </c>
      <c r="V145">
        <v>0</v>
      </c>
      <c r="W145">
        <v>0</v>
      </c>
      <c r="X145">
        <v>0</v>
      </c>
      <c r="Y145" t="s">
        <v>444</v>
      </c>
    </row>
    <row r="146" spans="1:25" x14ac:dyDescent="0.25">
      <c r="A146" s="18">
        <v>46256.01</v>
      </c>
      <c r="B146">
        <v>1</v>
      </c>
      <c r="C146" t="s">
        <v>557</v>
      </c>
      <c r="D146">
        <v>1.4241064901519834E-4</v>
      </c>
      <c r="E146">
        <v>0</v>
      </c>
      <c r="F146" t="s">
        <v>599</v>
      </c>
      <c r="J146" s="18">
        <v>46256.01</v>
      </c>
      <c r="K146" t="s">
        <v>557</v>
      </c>
      <c r="L146" t="s">
        <v>155</v>
      </c>
      <c r="M146" t="s">
        <v>43</v>
      </c>
      <c r="N146">
        <v>175</v>
      </c>
      <c r="O146">
        <v>775</v>
      </c>
      <c r="P146">
        <v>2500</v>
      </c>
      <c r="Q146" t="s">
        <v>443</v>
      </c>
      <c r="R146">
        <v>50</v>
      </c>
      <c r="S146">
        <v>50</v>
      </c>
      <c r="U146">
        <v>0</v>
      </c>
      <c r="V146">
        <v>0</v>
      </c>
      <c r="W146">
        <v>0</v>
      </c>
      <c r="X146">
        <v>0</v>
      </c>
      <c r="Y146" t="s">
        <v>444</v>
      </c>
    </row>
    <row r="147" spans="1:25" x14ac:dyDescent="0.25">
      <c r="A147" s="18">
        <v>46256.01</v>
      </c>
      <c r="B147">
        <v>1</v>
      </c>
      <c r="C147" t="s">
        <v>558</v>
      </c>
      <c r="D147">
        <v>1.622243791241745E-4</v>
      </c>
      <c r="E147">
        <v>0</v>
      </c>
      <c r="F147" t="s">
        <v>599</v>
      </c>
      <c r="J147" s="18">
        <v>46256.01</v>
      </c>
      <c r="K147" t="s">
        <v>558</v>
      </c>
      <c r="L147" t="s">
        <v>155</v>
      </c>
      <c r="M147" t="s">
        <v>43</v>
      </c>
      <c r="N147">
        <v>225</v>
      </c>
      <c r="O147">
        <v>775</v>
      </c>
      <c r="P147">
        <v>2500</v>
      </c>
      <c r="Q147" t="s">
        <v>443</v>
      </c>
      <c r="R147">
        <v>50</v>
      </c>
      <c r="S147">
        <v>50</v>
      </c>
      <c r="U147">
        <v>0</v>
      </c>
      <c r="V147">
        <v>0</v>
      </c>
      <c r="W147">
        <v>0</v>
      </c>
      <c r="X147">
        <v>0</v>
      </c>
      <c r="Y147" t="s">
        <v>444</v>
      </c>
    </row>
    <row r="148" spans="1:25" x14ac:dyDescent="0.25">
      <c r="A148" s="18">
        <v>46256.01</v>
      </c>
      <c r="B148">
        <v>1</v>
      </c>
      <c r="C148" t="s">
        <v>559</v>
      </c>
      <c r="D148">
        <v>-6.9250247333147252E-5</v>
      </c>
      <c r="E148">
        <v>-13.85004946662945</v>
      </c>
      <c r="F148" t="s">
        <v>268</v>
      </c>
      <c r="J148" s="18">
        <v>46256.01</v>
      </c>
      <c r="K148" t="s">
        <v>559</v>
      </c>
      <c r="L148" t="s">
        <v>560</v>
      </c>
      <c r="M148" t="s">
        <v>64</v>
      </c>
      <c r="N148">
        <v>40</v>
      </c>
      <c r="O148">
        <v>525</v>
      </c>
      <c r="P148">
        <v>804.24771931898704</v>
      </c>
      <c r="Q148" t="s">
        <v>390</v>
      </c>
      <c r="T148">
        <v>32</v>
      </c>
      <c r="U148">
        <v>0</v>
      </c>
      <c r="V148">
        <v>0</v>
      </c>
      <c r="W148">
        <v>0</v>
      </c>
      <c r="X148">
        <v>0</v>
      </c>
      <c r="Y148" t="s">
        <v>561</v>
      </c>
    </row>
    <row r="149" spans="1:25" x14ac:dyDescent="0.25">
      <c r="A149" s="18">
        <v>46256.01</v>
      </c>
      <c r="B149">
        <v>1</v>
      </c>
      <c r="C149" t="s">
        <v>562</v>
      </c>
      <c r="D149">
        <v>-8.4433974538341812E-5</v>
      </c>
      <c r="E149">
        <v>-16.886794907668364</v>
      </c>
      <c r="F149" t="s">
        <v>268</v>
      </c>
      <c r="J149" s="18">
        <v>46256.01</v>
      </c>
      <c r="K149" t="s">
        <v>562</v>
      </c>
      <c r="L149" t="s">
        <v>560</v>
      </c>
      <c r="M149" t="s">
        <v>64</v>
      </c>
      <c r="N149">
        <v>40</v>
      </c>
      <c r="O149">
        <v>501</v>
      </c>
      <c r="P149">
        <v>201.06192982974676</v>
      </c>
      <c r="Q149" t="s">
        <v>390</v>
      </c>
      <c r="T149">
        <v>16</v>
      </c>
      <c r="U149">
        <v>0</v>
      </c>
      <c r="V149">
        <v>0</v>
      </c>
      <c r="W149">
        <v>0</v>
      </c>
      <c r="X149">
        <v>0</v>
      </c>
      <c r="Y149" t="s">
        <v>736</v>
      </c>
    </row>
    <row r="150" spans="1:25" x14ac:dyDescent="0.25">
      <c r="A150" s="18">
        <v>46256.01</v>
      </c>
      <c r="B150">
        <v>1</v>
      </c>
      <c r="C150" t="s">
        <v>563</v>
      </c>
      <c r="D150">
        <v>-1.3093413910425015E-4</v>
      </c>
      <c r="E150">
        <v>-26.186827820850031</v>
      </c>
      <c r="F150" t="s">
        <v>268</v>
      </c>
      <c r="J150" s="18">
        <v>46256.01</v>
      </c>
      <c r="K150" t="s">
        <v>563</v>
      </c>
      <c r="L150" t="s">
        <v>560</v>
      </c>
      <c r="M150" t="s">
        <v>64</v>
      </c>
      <c r="N150">
        <v>40</v>
      </c>
      <c r="O150">
        <v>427.5</v>
      </c>
      <c r="P150">
        <v>804.24771931898704</v>
      </c>
      <c r="Q150" t="s">
        <v>390</v>
      </c>
      <c r="T150">
        <v>32</v>
      </c>
      <c r="U150">
        <v>0</v>
      </c>
      <c r="V150">
        <v>0</v>
      </c>
      <c r="W150">
        <v>0</v>
      </c>
      <c r="X150">
        <v>0</v>
      </c>
      <c r="Y150" t="s">
        <v>561</v>
      </c>
    </row>
    <row r="151" spans="1:25" x14ac:dyDescent="0.25">
      <c r="A151" s="18">
        <v>46256.01</v>
      </c>
      <c r="B151">
        <v>1</v>
      </c>
      <c r="C151" t="s">
        <v>564</v>
      </c>
      <c r="D151">
        <v>-7.5663555620443562E-6</v>
      </c>
      <c r="E151">
        <v>-1.5132711124088711</v>
      </c>
      <c r="F151" t="s">
        <v>268</v>
      </c>
      <c r="J151" s="18">
        <v>46256.01</v>
      </c>
      <c r="K151" t="s">
        <v>564</v>
      </c>
      <c r="L151" t="s">
        <v>560</v>
      </c>
      <c r="M151" t="s">
        <v>64</v>
      </c>
      <c r="N151">
        <v>40</v>
      </c>
      <c r="O151">
        <v>622.5</v>
      </c>
      <c r="P151">
        <v>804.24771931898704</v>
      </c>
      <c r="Q151" t="s">
        <v>390</v>
      </c>
      <c r="T151">
        <v>32</v>
      </c>
      <c r="U151">
        <v>0</v>
      </c>
      <c r="V151">
        <v>0</v>
      </c>
      <c r="W151">
        <v>0</v>
      </c>
      <c r="X151">
        <v>0</v>
      </c>
      <c r="Y151" t="s">
        <v>561</v>
      </c>
    </row>
    <row r="152" spans="1:25" x14ac:dyDescent="0.25">
      <c r="A152" s="18">
        <v>46256.01</v>
      </c>
      <c r="B152">
        <v>1</v>
      </c>
      <c r="C152" t="s">
        <v>565</v>
      </c>
      <c r="D152">
        <v>-1.9261803087535303E-4</v>
      </c>
      <c r="E152">
        <v>-38.523606175070604</v>
      </c>
      <c r="F152" t="s">
        <v>268</v>
      </c>
      <c r="J152" s="18">
        <v>46256.01</v>
      </c>
      <c r="K152" t="s">
        <v>565</v>
      </c>
      <c r="L152" t="s">
        <v>560</v>
      </c>
      <c r="M152" t="s">
        <v>64</v>
      </c>
      <c r="N152">
        <v>40</v>
      </c>
      <c r="O152">
        <v>330</v>
      </c>
      <c r="P152">
        <v>804.24771931898704</v>
      </c>
      <c r="Q152" t="s">
        <v>390</v>
      </c>
      <c r="T152">
        <v>32</v>
      </c>
      <c r="U152">
        <v>0</v>
      </c>
      <c r="V152">
        <v>0</v>
      </c>
      <c r="W152">
        <v>0</v>
      </c>
      <c r="X152">
        <v>0</v>
      </c>
      <c r="Y152" t="s">
        <v>561</v>
      </c>
    </row>
    <row r="153" spans="1:25" x14ac:dyDescent="0.25">
      <c r="A153" s="18">
        <v>46256.01</v>
      </c>
      <c r="B153">
        <v>1</v>
      </c>
      <c r="C153" t="s">
        <v>566</v>
      </c>
      <c r="D153">
        <v>-2.0780175808054761E-4</v>
      </c>
      <c r="E153">
        <v>-41.560351616109521</v>
      </c>
      <c r="F153" t="s">
        <v>268</v>
      </c>
      <c r="J153" s="18">
        <v>46256.01</v>
      </c>
      <c r="K153" t="s">
        <v>566</v>
      </c>
      <c r="L153" t="s">
        <v>560</v>
      </c>
      <c r="M153" t="s">
        <v>64</v>
      </c>
      <c r="N153">
        <v>40</v>
      </c>
      <c r="O153">
        <v>306</v>
      </c>
      <c r="P153">
        <v>201.06192982974676</v>
      </c>
      <c r="Q153" t="s">
        <v>390</v>
      </c>
      <c r="T153">
        <v>16</v>
      </c>
      <c r="U153">
        <v>0</v>
      </c>
      <c r="V153">
        <v>0</v>
      </c>
      <c r="W153">
        <v>0</v>
      </c>
      <c r="X153">
        <v>0</v>
      </c>
      <c r="Y153" t="s">
        <v>736</v>
      </c>
    </row>
    <row r="154" spans="1:25" x14ac:dyDescent="0.25">
      <c r="A154" s="18">
        <v>46256.01</v>
      </c>
      <c r="B154">
        <v>1</v>
      </c>
      <c r="C154" t="s">
        <v>568</v>
      </c>
      <c r="D154">
        <v>5.4117536209058536E-5</v>
      </c>
      <c r="E154">
        <v>10.823507241811708</v>
      </c>
      <c r="F154" t="s">
        <v>269</v>
      </c>
      <c r="J154" s="18">
        <v>46256.01</v>
      </c>
      <c r="K154" t="s">
        <v>568</v>
      </c>
      <c r="L154" t="s">
        <v>560</v>
      </c>
      <c r="M154" t="s">
        <v>64</v>
      </c>
      <c r="N154">
        <v>40</v>
      </c>
      <c r="O154">
        <v>720</v>
      </c>
      <c r="P154">
        <v>804.24771931898704</v>
      </c>
      <c r="Q154" t="s">
        <v>390</v>
      </c>
      <c r="T154">
        <v>32</v>
      </c>
      <c r="U154">
        <v>0</v>
      </c>
      <c r="V154">
        <v>0</v>
      </c>
      <c r="W154">
        <v>0</v>
      </c>
      <c r="X154">
        <v>0</v>
      </c>
      <c r="Y154" t="s">
        <v>561</v>
      </c>
    </row>
    <row r="155" spans="1:25" x14ac:dyDescent="0.25">
      <c r="A155" s="18">
        <v>46256.01</v>
      </c>
      <c r="B155">
        <v>1</v>
      </c>
      <c r="C155" t="s">
        <v>569</v>
      </c>
      <c r="D155">
        <v>3.8933809003863982E-5</v>
      </c>
      <c r="E155">
        <v>7.7867618007727959</v>
      </c>
      <c r="F155" t="s">
        <v>269</v>
      </c>
      <c r="J155" s="18">
        <v>46256.01</v>
      </c>
      <c r="K155" t="s">
        <v>569</v>
      </c>
      <c r="L155" t="s">
        <v>560</v>
      </c>
      <c r="M155" t="s">
        <v>64</v>
      </c>
      <c r="N155">
        <v>40</v>
      </c>
      <c r="O155">
        <v>696</v>
      </c>
      <c r="P155">
        <v>201.06192982974676</v>
      </c>
      <c r="Q155" t="s">
        <v>390</v>
      </c>
      <c r="T155">
        <v>16</v>
      </c>
      <c r="U155">
        <v>0</v>
      </c>
      <c r="V155">
        <v>0</v>
      </c>
      <c r="W155">
        <v>0</v>
      </c>
      <c r="X155">
        <v>0</v>
      </c>
      <c r="Y155" t="s">
        <v>736</v>
      </c>
    </row>
    <row r="156" spans="1:25" x14ac:dyDescent="0.25">
      <c r="A156" s="18">
        <v>46256.01</v>
      </c>
      <c r="B156">
        <v>1</v>
      </c>
      <c r="C156" t="s">
        <v>570</v>
      </c>
      <c r="D156">
        <v>-1.8835649626283276E-6</v>
      </c>
      <c r="E156">
        <v>-0.37671299252566548</v>
      </c>
      <c r="F156" t="s">
        <v>268</v>
      </c>
      <c r="J156" s="18">
        <v>46256.01</v>
      </c>
      <c r="K156" t="s">
        <v>570</v>
      </c>
      <c r="L156" t="s">
        <v>560</v>
      </c>
      <c r="M156" t="s">
        <v>64</v>
      </c>
      <c r="N156">
        <v>210</v>
      </c>
      <c r="O156">
        <v>525</v>
      </c>
      <c r="P156">
        <v>804.24771931898704</v>
      </c>
      <c r="Q156" t="s">
        <v>390</v>
      </c>
      <c r="T156">
        <v>32</v>
      </c>
      <c r="U156">
        <v>0</v>
      </c>
      <c r="V156">
        <v>0</v>
      </c>
      <c r="W156">
        <v>0</v>
      </c>
      <c r="X156">
        <v>0</v>
      </c>
      <c r="Y156" t="s">
        <v>567</v>
      </c>
    </row>
    <row r="157" spans="1:25" x14ac:dyDescent="0.25">
      <c r="A157" s="18">
        <v>46256.01</v>
      </c>
      <c r="B157">
        <v>1</v>
      </c>
      <c r="C157" t="s">
        <v>571</v>
      </c>
      <c r="D157">
        <v>5.9800326808474566E-5</v>
      </c>
      <c r="E157">
        <v>11.960065361694912</v>
      </c>
      <c r="F157" t="s">
        <v>269</v>
      </c>
      <c r="J157" s="18">
        <v>46256.01</v>
      </c>
      <c r="K157" t="s">
        <v>571</v>
      </c>
      <c r="L157" t="s">
        <v>560</v>
      </c>
      <c r="M157" t="s">
        <v>64</v>
      </c>
      <c r="N157">
        <v>210</v>
      </c>
      <c r="O157">
        <v>622.5</v>
      </c>
      <c r="P157">
        <v>804.24771931898704</v>
      </c>
      <c r="Q157" t="s">
        <v>390</v>
      </c>
      <c r="T157">
        <v>32</v>
      </c>
      <c r="U157">
        <v>0</v>
      </c>
      <c r="V157">
        <v>0</v>
      </c>
      <c r="W157">
        <v>0</v>
      </c>
      <c r="X157">
        <v>0</v>
      </c>
      <c r="Y157" t="s">
        <v>567</v>
      </c>
    </row>
    <row r="158" spans="1:25" x14ac:dyDescent="0.25">
      <c r="A158" s="18">
        <v>46256.01</v>
      </c>
      <c r="B158">
        <v>1</v>
      </c>
      <c r="C158" t="s">
        <v>572</v>
      </c>
      <c r="D158">
        <v>-6.3567456733731222E-5</v>
      </c>
      <c r="E158">
        <v>-12.713491346746244</v>
      </c>
      <c r="F158" t="s">
        <v>268</v>
      </c>
      <c r="J158" s="18">
        <v>46256.01</v>
      </c>
      <c r="K158" t="s">
        <v>572</v>
      </c>
      <c r="L158" t="s">
        <v>560</v>
      </c>
      <c r="M158" t="s">
        <v>64</v>
      </c>
      <c r="N158">
        <v>210</v>
      </c>
      <c r="O158">
        <v>427.5</v>
      </c>
      <c r="P158">
        <v>804.24771931898704</v>
      </c>
      <c r="Q158" t="s">
        <v>390</v>
      </c>
      <c r="T158">
        <v>32</v>
      </c>
      <c r="U158">
        <v>0</v>
      </c>
      <c r="V158">
        <v>0</v>
      </c>
      <c r="W158">
        <v>0</v>
      </c>
      <c r="X158">
        <v>0</v>
      </c>
      <c r="Y158" t="s">
        <v>567</v>
      </c>
    </row>
    <row r="159" spans="1:25" x14ac:dyDescent="0.25">
      <c r="A159" s="18">
        <v>46256.01</v>
      </c>
      <c r="B159">
        <v>1</v>
      </c>
      <c r="C159" t="s">
        <v>574</v>
      </c>
      <c r="D159">
        <v>1.2148421857957746E-4</v>
      </c>
      <c r="E159">
        <v>24.29684371591549</v>
      </c>
      <c r="F159" t="s">
        <v>269</v>
      </c>
      <c r="J159" s="18">
        <v>46256.01</v>
      </c>
      <c r="K159" t="s">
        <v>574</v>
      </c>
      <c r="L159" t="s">
        <v>560</v>
      </c>
      <c r="M159" t="s">
        <v>64</v>
      </c>
      <c r="N159">
        <v>210</v>
      </c>
      <c r="O159">
        <v>720</v>
      </c>
      <c r="P159">
        <v>804.24771931898704</v>
      </c>
      <c r="Q159" t="s">
        <v>390</v>
      </c>
      <c r="T159">
        <v>32</v>
      </c>
      <c r="U159">
        <v>0</v>
      </c>
      <c r="V159">
        <v>0</v>
      </c>
      <c r="W159">
        <v>0</v>
      </c>
      <c r="X159">
        <v>0</v>
      </c>
      <c r="Y159" t="s">
        <v>567</v>
      </c>
    </row>
    <row r="160" spans="1:25" x14ac:dyDescent="0.25">
      <c r="A160" s="18">
        <v>46256.01</v>
      </c>
      <c r="B160">
        <v>1</v>
      </c>
      <c r="C160" t="s">
        <v>575</v>
      </c>
      <c r="D160">
        <v>-1.2525134850483412E-4</v>
      </c>
      <c r="E160">
        <v>-25.050269700966822</v>
      </c>
      <c r="F160" t="s">
        <v>268</v>
      </c>
      <c r="J160" s="18">
        <v>46256.01</v>
      </c>
      <c r="K160" t="s">
        <v>575</v>
      </c>
      <c r="L160" t="s">
        <v>560</v>
      </c>
      <c r="M160" t="s">
        <v>64</v>
      </c>
      <c r="N160">
        <v>210</v>
      </c>
      <c r="O160">
        <v>330</v>
      </c>
      <c r="P160">
        <v>804.24771931898704</v>
      </c>
      <c r="Q160" t="s">
        <v>390</v>
      </c>
      <c r="T160">
        <v>32</v>
      </c>
      <c r="U160">
        <v>0</v>
      </c>
      <c r="V160">
        <v>0</v>
      </c>
      <c r="W160">
        <v>0</v>
      </c>
      <c r="X160">
        <v>0</v>
      </c>
      <c r="Y160" t="s">
        <v>567</v>
      </c>
    </row>
    <row r="161" spans="1:25" x14ac:dyDescent="0.25">
      <c r="A161" s="18">
        <v>46256.01</v>
      </c>
      <c r="B161">
        <v>1</v>
      </c>
      <c r="C161" t="s">
        <v>577</v>
      </c>
      <c r="D161">
        <v>9.5274732304897057E-5</v>
      </c>
      <c r="E161">
        <v>19.054946460979412</v>
      </c>
      <c r="F161" t="s">
        <v>269</v>
      </c>
      <c r="J161" s="18">
        <v>46256.01</v>
      </c>
      <c r="K161" t="s">
        <v>577</v>
      </c>
      <c r="L161" t="s">
        <v>560</v>
      </c>
      <c r="M161" t="s">
        <v>64</v>
      </c>
      <c r="N161">
        <v>80</v>
      </c>
      <c r="O161">
        <v>760</v>
      </c>
      <c r="P161">
        <v>804.24771931898704</v>
      </c>
      <c r="Q161" t="s">
        <v>390</v>
      </c>
      <c r="T161">
        <v>32</v>
      </c>
      <c r="U161">
        <v>0</v>
      </c>
      <c r="V161">
        <v>0</v>
      </c>
      <c r="W161">
        <v>0</v>
      </c>
      <c r="X161">
        <v>0</v>
      </c>
      <c r="Y161" t="s">
        <v>573</v>
      </c>
    </row>
    <row r="162" spans="1:25" x14ac:dyDescent="0.25">
      <c r="A162" s="18">
        <v>46256.01</v>
      </c>
      <c r="B162">
        <v>1</v>
      </c>
      <c r="C162" t="s">
        <v>578</v>
      </c>
      <c r="D162">
        <v>1.3093944650105415E-4</v>
      </c>
      <c r="E162">
        <v>26.187889300210831</v>
      </c>
      <c r="F162" t="s">
        <v>269</v>
      </c>
      <c r="J162" s="18">
        <v>46256.01</v>
      </c>
      <c r="K162" t="s">
        <v>578</v>
      </c>
      <c r="L162" t="s">
        <v>560</v>
      </c>
      <c r="M162" t="s">
        <v>64</v>
      </c>
      <c r="N162">
        <v>170</v>
      </c>
      <c r="O162">
        <v>760</v>
      </c>
      <c r="P162">
        <v>804.24771931898704</v>
      </c>
      <c r="Q162" t="s">
        <v>390</v>
      </c>
      <c r="T162">
        <v>32</v>
      </c>
      <c r="U162">
        <v>0</v>
      </c>
      <c r="V162">
        <v>0</v>
      </c>
      <c r="W162">
        <v>0</v>
      </c>
      <c r="X162">
        <v>0</v>
      </c>
      <c r="Y162" t="s">
        <v>573</v>
      </c>
    </row>
    <row r="163" spans="1:25" x14ac:dyDescent="0.25">
      <c r="A163" s="18">
        <v>46256.01</v>
      </c>
      <c r="B163">
        <v>1</v>
      </c>
      <c r="C163" t="s">
        <v>580</v>
      </c>
      <c r="D163">
        <v>-1.6640854460067263E-4</v>
      </c>
      <c r="E163">
        <v>-33.281708920134527</v>
      </c>
      <c r="F163" t="s">
        <v>268</v>
      </c>
      <c r="J163" s="18">
        <v>46256.01</v>
      </c>
      <c r="K163" t="s">
        <v>580</v>
      </c>
      <c r="L163" t="s">
        <v>560</v>
      </c>
      <c r="M163" t="s">
        <v>64</v>
      </c>
      <c r="N163">
        <v>170</v>
      </c>
      <c r="O163">
        <v>290</v>
      </c>
      <c r="P163">
        <v>804.24771931898704</v>
      </c>
      <c r="Q163" t="s">
        <v>390</v>
      </c>
      <c r="T163">
        <v>32</v>
      </c>
      <c r="U163">
        <v>0</v>
      </c>
      <c r="V163">
        <v>0</v>
      </c>
      <c r="W163">
        <v>0</v>
      </c>
      <c r="X163">
        <v>0</v>
      </c>
      <c r="Y163" t="s">
        <v>576</v>
      </c>
    </row>
    <row r="164" spans="1:25" x14ac:dyDescent="0.25">
      <c r="A164" s="18">
        <v>46256.01</v>
      </c>
      <c r="B164">
        <v>1</v>
      </c>
      <c r="C164" t="s">
        <v>581</v>
      </c>
      <c r="D164">
        <v>-2.0207325879682971E-4</v>
      </c>
      <c r="E164">
        <v>-40.414651759365938</v>
      </c>
      <c r="F164" t="s">
        <v>268</v>
      </c>
      <c r="J164" s="18">
        <v>46256.01</v>
      </c>
      <c r="K164" t="s">
        <v>581</v>
      </c>
      <c r="L164" t="s">
        <v>560</v>
      </c>
      <c r="M164" t="s">
        <v>64</v>
      </c>
      <c r="N164">
        <v>79.999999999999986</v>
      </c>
      <c r="O164">
        <v>290</v>
      </c>
      <c r="P164">
        <v>804.24771931898704</v>
      </c>
      <c r="Q164" t="s">
        <v>390</v>
      </c>
      <c r="T164">
        <v>32</v>
      </c>
      <c r="U164">
        <v>0</v>
      </c>
      <c r="V164">
        <v>0</v>
      </c>
      <c r="W164">
        <v>0</v>
      </c>
      <c r="X164">
        <v>0</v>
      </c>
      <c r="Y164" t="s">
        <v>576</v>
      </c>
    </row>
    <row r="165" spans="1:25" x14ac:dyDescent="0.25">
      <c r="A165" s="18">
        <v>46256.01</v>
      </c>
      <c r="B165">
        <v>1</v>
      </c>
      <c r="C165" t="s">
        <v>583</v>
      </c>
      <c r="D165">
        <v>-3.5078185592946304E-4</v>
      </c>
      <c r="E165">
        <v>-70.15637118589261</v>
      </c>
      <c r="F165" t="s">
        <v>268</v>
      </c>
      <c r="J165" s="18">
        <v>46256.01</v>
      </c>
      <c r="K165" t="s">
        <v>583</v>
      </c>
      <c r="L165" t="s">
        <v>560</v>
      </c>
      <c r="M165" t="s">
        <v>64</v>
      </c>
      <c r="N165">
        <v>40</v>
      </c>
      <c r="O165">
        <v>80</v>
      </c>
      <c r="P165">
        <v>804.24771931898704</v>
      </c>
      <c r="Q165" t="s">
        <v>390</v>
      </c>
      <c r="T165">
        <v>32</v>
      </c>
      <c r="U165">
        <v>0</v>
      </c>
      <c r="V165">
        <v>0</v>
      </c>
      <c r="W165">
        <v>0</v>
      </c>
      <c r="X165">
        <v>0</v>
      </c>
      <c r="Y165" t="s">
        <v>579</v>
      </c>
    </row>
    <row r="166" spans="1:25" x14ac:dyDescent="0.25">
      <c r="A166" s="18">
        <v>46256.01</v>
      </c>
      <c r="B166">
        <v>1</v>
      </c>
      <c r="C166" t="s">
        <v>584</v>
      </c>
      <c r="D166">
        <v>-2.9384287890998342E-4</v>
      </c>
      <c r="E166">
        <v>-58.768575781996681</v>
      </c>
      <c r="F166" t="s">
        <v>268</v>
      </c>
      <c r="J166" s="18">
        <v>46256.01</v>
      </c>
      <c r="K166" t="s">
        <v>584</v>
      </c>
      <c r="L166" t="s">
        <v>560</v>
      </c>
      <c r="M166" t="s">
        <v>64</v>
      </c>
      <c r="N166">
        <v>40</v>
      </c>
      <c r="O166">
        <v>170</v>
      </c>
      <c r="P166">
        <v>804.24771931898704</v>
      </c>
      <c r="Q166" t="s">
        <v>390</v>
      </c>
      <c r="T166">
        <v>32</v>
      </c>
      <c r="U166">
        <v>0</v>
      </c>
      <c r="V166">
        <v>0</v>
      </c>
      <c r="W166">
        <v>0</v>
      </c>
      <c r="X166">
        <v>0</v>
      </c>
      <c r="Y166" t="s">
        <v>579</v>
      </c>
    </row>
    <row r="167" spans="1:25" x14ac:dyDescent="0.25">
      <c r="A167" s="18">
        <v>46256.01</v>
      </c>
      <c r="B167">
        <v>1</v>
      </c>
      <c r="C167" t="s">
        <v>586</v>
      </c>
      <c r="D167">
        <v>-8.7780085776631434E-5</v>
      </c>
      <c r="E167">
        <v>-17.556017155326288</v>
      </c>
      <c r="F167" t="s">
        <v>268</v>
      </c>
      <c r="J167" s="18">
        <v>46256.01</v>
      </c>
      <c r="K167" t="s">
        <v>586</v>
      </c>
      <c r="L167" t="s">
        <v>560</v>
      </c>
      <c r="M167" t="s">
        <v>64</v>
      </c>
      <c r="N167">
        <v>560</v>
      </c>
      <c r="O167">
        <v>170</v>
      </c>
      <c r="P167">
        <v>804.24771931898704</v>
      </c>
      <c r="Q167" t="s">
        <v>390</v>
      </c>
      <c r="T167">
        <v>32</v>
      </c>
      <c r="U167">
        <v>0</v>
      </c>
      <c r="V167">
        <v>0</v>
      </c>
      <c r="W167">
        <v>0</v>
      </c>
      <c r="X167">
        <v>0</v>
      </c>
      <c r="Y167" t="s">
        <v>582</v>
      </c>
    </row>
    <row r="168" spans="1:25" x14ac:dyDescent="0.25">
      <c r="A168" s="18">
        <v>46256.01</v>
      </c>
      <c r="B168">
        <v>1</v>
      </c>
      <c r="C168" t="s">
        <v>587</v>
      </c>
      <c r="D168">
        <v>-1.4471906279611102E-4</v>
      </c>
      <c r="E168">
        <v>-28.943812559222206</v>
      </c>
      <c r="F168" t="s">
        <v>268</v>
      </c>
      <c r="J168" s="18">
        <v>46256.01</v>
      </c>
      <c r="K168" t="s">
        <v>587</v>
      </c>
      <c r="L168" t="s">
        <v>560</v>
      </c>
      <c r="M168" t="s">
        <v>64</v>
      </c>
      <c r="N168">
        <v>560</v>
      </c>
      <c r="O168">
        <v>79.999999999999986</v>
      </c>
      <c r="P168">
        <v>804.24771931898704</v>
      </c>
      <c r="Q168" t="s">
        <v>390</v>
      </c>
      <c r="T168">
        <v>32</v>
      </c>
      <c r="U168">
        <v>0</v>
      </c>
      <c r="V168">
        <v>0</v>
      </c>
      <c r="W168">
        <v>0</v>
      </c>
      <c r="X168">
        <v>0</v>
      </c>
      <c r="Y168" t="s">
        <v>582</v>
      </c>
    </row>
    <row r="169" spans="1:25" x14ac:dyDescent="0.25">
      <c r="A169" s="18">
        <v>46256.01</v>
      </c>
      <c r="B169">
        <v>1</v>
      </c>
      <c r="C169" t="s">
        <v>588</v>
      </c>
      <c r="D169">
        <v>-1.6550527033464983E-4</v>
      </c>
      <c r="E169">
        <v>-33.101054066929969</v>
      </c>
      <c r="F169" t="s">
        <v>268</v>
      </c>
      <c r="J169" s="18">
        <v>46256.01</v>
      </c>
      <c r="K169" t="s">
        <v>588</v>
      </c>
      <c r="L169" t="s">
        <v>560</v>
      </c>
      <c r="M169" t="s">
        <v>64</v>
      </c>
      <c r="N169">
        <v>300</v>
      </c>
      <c r="O169">
        <v>210</v>
      </c>
      <c r="P169">
        <v>804.24771931898704</v>
      </c>
      <c r="Q169" t="s">
        <v>390</v>
      </c>
      <c r="T169">
        <v>32</v>
      </c>
      <c r="U169">
        <v>0</v>
      </c>
      <c r="V169">
        <v>0</v>
      </c>
      <c r="W169">
        <v>0</v>
      </c>
      <c r="X169">
        <v>0</v>
      </c>
      <c r="Y169" t="s">
        <v>585</v>
      </c>
    </row>
    <row r="170" spans="1:25" x14ac:dyDescent="0.25">
      <c r="A170" s="18">
        <v>46256.01</v>
      </c>
      <c r="B170">
        <v>1</v>
      </c>
      <c r="C170" t="s">
        <v>589</v>
      </c>
      <c r="D170">
        <v>-2.0909547657439737E-4</v>
      </c>
      <c r="E170">
        <v>-41.819095314879469</v>
      </c>
      <c r="F170" t="s">
        <v>268</v>
      </c>
      <c r="J170" s="18">
        <v>46256.01</v>
      </c>
      <c r="K170" t="s">
        <v>589</v>
      </c>
      <c r="L170" t="s">
        <v>560</v>
      </c>
      <c r="M170" t="s">
        <v>64</v>
      </c>
      <c r="N170">
        <v>190</v>
      </c>
      <c r="O170">
        <v>210</v>
      </c>
      <c r="P170">
        <v>804.24771931898704</v>
      </c>
      <c r="Q170" t="s">
        <v>390</v>
      </c>
      <c r="T170">
        <v>32</v>
      </c>
      <c r="U170">
        <v>0</v>
      </c>
      <c r="V170">
        <v>0</v>
      </c>
      <c r="W170">
        <v>0</v>
      </c>
      <c r="X170">
        <v>0</v>
      </c>
      <c r="Y170" t="s">
        <v>585</v>
      </c>
    </row>
    <row r="171" spans="1:25" x14ac:dyDescent="0.25">
      <c r="A171" s="18">
        <v>46256.01</v>
      </c>
      <c r="B171">
        <v>1</v>
      </c>
      <c r="C171" t="s">
        <v>590</v>
      </c>
      <c r="D171">
        <v>-1.2191506409490229E-4</v>
      </c>
      <c r="E171">
        <v>-24.383012818980458</v>
      </c>
      <c r="F171" t="s">
        <v>268</v>
      </c>
      <c r="J171" s="18">
        <v>46256.01</v>
      </c>
      <c r="K171" t="s">
        <v>590</v>
      </c>
      <c r="L171" t="s">
        <v>560</v>
      </c>
      <c r="M171" t="s">
        <v>64</v>
      </c>
      <c r="N171">
        <v>410</v>
      </c>
      <c r="O171">
        <v>210</v>
      </c>
      <c r="P171">
        <v>804.24771931898704</v>
      </c>
      <c r="Q171" t="s">
        <v>390</v>
      </c>
      <c r="T171">
        <v>32</v>
      </c>
      <c r="U171">
        <v>0</v>
      </c>
      <c r="V171">
        <v>0</v>
      </c>
      <c r="W171">
        <v>0</v>
      </c>
      <c r="X171">
        <v>0</v>
      </c>
      <c r="Y171" t="s">
        <v>585</v>
      </c>
    </row>
    <row r="172" spans="1:25" x14ac:dyDescent="0.25">
      <c r="A172" s="18">
        <v>46256.01</v>
      </c>
      <c r="B172">
        <v>1</v>
      </c>
      <c r="C172" t="s">
        <v>592</v>
      </c>
      <c r="D172">
        <v>-2.526856828141449E-4</v>
      </c>
      <c r="E172">
        <v>-50.537136562828977</v>
      </c>
      <c r="F172" t="s">
        <v>268</v>
      </c>
      <c r="J172" s="18">
        <v>46256.01</v>
      </c>
      <c r="K172" t="s">
        <v>592</v>
      </c>
      <c r="L172" t="s">
        <v>560</v>
      </c>
      <c r="M172" t="s">
        <v>64</v>
      </c>
      <c r="N172">
        <v>80</v>
      </c>
      <c r="O172">
        <v>210</v>
      </c>
      <c r="P172">
        <v>804.24771931898704</v>
      </c>
      <c r="Q172" t="s">
        <v>390</v>
      </c>
      <c r="T172">
        <v>32</v>
      </c>
      <c r="U172">
        <v>0</v>
      </c>
      <c r="V172">
        <v>0</v>
      </c>
      <c r="W172">
        <v>0</v>
      </c>
      <c r="X172">
        <v>0</v>
      </c>
      <c r="Y172" t="s">
        <v>585</v>
      </c>
    </row>
    <row r="173" spans="1:25" x14ac:dyDescent="0.25">
      <c r="A173" s="18">
        <v>46256.01</v>
      </c>
      <c r="B173">
        <v>1</v>
      </c>
      <c r="C173" t="s">
        <v>593</v>
      </c>
      <c r="D173">
        <v>-7.8324857855154755E-5</v>
      </c>
      <c r="E173">
        <v>-15.66497157103095</v>
      </c>
      <c r="F173" t="s">
        <v>268</v>
      </c>
      <c r="J173" s="18">
        <v>46256.01</v>
      </c>
      <c r="K173" t="s">
        <v>593</v>
      </c>
      <c r="L173" t="s">
        <v>560</v>
      </c>
      <c r="M173" t="s">
        <v>64</v>
      </c>
      <c r="N173">
        <v>520</v>
      </c>
      <c r="O173">
        <v>210</v>
      </c>
      <c r="P173">
        <v>804.24771931898704</v>
      </c>
      <c r="Q173" t="s">
        <v>390</v>
      </c>
      <c r="T173">
        <v>32</v>
      </c>
      <c r="U173">
        <v>0</v>
      </c>
      <c r="V173">
        <v>0</v>
      </c>
      <c r="W173">
        <v>0</v>
      </c>
      <c r="X173">
        <v>0</v>
      </c>
      <c r="Y173" t="s">
        <v>585</v>
      </c>
    </row>
    <row r="174" spans="1:25" x14ac:dyDescent="0.25">
      <c r="A174" s="18">
        <v>46256.01</v>
      </c>
      <c r="B174">
        <v>1</v>
      </c>
      <c r="C174" t="s">
        <v>594</v>
      </c>
      <c r="D174">
        <v>-2.7305667137144464E-4</v>
      </c>
      <c r="E174">
        <v>-54.611334274288929</v>
      </c>
      <c r="F174" t="s">
        <v>268</v>
      </c>
      <c r="J174" s="18">
        <v>46256.01</v>
      </c>
      <c r="K174" t="s">
        <v>594</v>
      </c>
      <c r="L174" t="s">
        <v>560</v>
      </c>
      <c r="M174" t="s">
        <v>64</v>
      </c>
      <c r="N174">
        <v>300</v>
      </c>
      <c r="O174">
        <v>40</v>
      </c>
      <c r="P174">
        <v>804.24771931898704</v>
      </c>
      <c r="Q174" t="s">
        <v>390</v>
      </c>
      <c r="T174">
        <v>32</v>
      </c>
      <c r="U174">
        <v>0</v>
      </c>
      <c r="V174">
        <v>0</v>
      </c>
      <c r="W174">
        <v>0</v>
      </c>
      <c r="X174">
        <v>0</v>
      </c>
      <c r="Y174" t="s">
        <v>591</v>
      </c>
    </row>
    <row r="175" spans="1:25" x14ac:dyDescent="0.25">
      <c r="A175" s="18">
        <v>46256.01</v>
      </c>
      <c r="B175">
        <v>1</v>
      </c>
      <c r="C175" t="s">
        <v>595</v>
      </c>
      <c r="D175">
        <v>-2.2946646513169708E-4</v>
      </c>
      <c r="E175">
        <v>-45.893293026339414</v>
      </c>
      <c r="F175" t="s">
        <v>268</v>
      </c>
      <c r="J175" s="18">
        <v>46256.01</v>
      </c>
      <c r="K175" t="s">
        <v>595</v>
      </c>
      <c r="L175" t="s">
        <v>560</v>
      </c>
      <c r="M175" t="s">
        <v>64</v>
      </c>
      <c r="N175">
        <v>410</v>
      </c>
      <c r="O175">
        <v>40</v>
      </c>
      <c r="P175">
        <v>804.24771931898704</v>
      </c>
      <c r="Q175" t="s">
        <v>390</v>
      </c>
      <c r="T175">
        <v>32</v>
      </c>
      <c r="U175">
        <v>0</v>
      </c>
      <c r="V175">
        <v>0</v>
      </c>
      <c r="W175">
        <v>0</v>
      </c>
      <c r="X175">
        <v>0</v>
      </c>
      <c r="Y175" t="s">
        <v>591</v>
      </c>
    </row>
    <row r="176" spans="1:25" x14ac:dyDescent="0.25">
      <c r="A176" s="18">
        <v>46256.01</v>
      </c>
      <c r="B176">
        <v>1</v>
      </c>
      <c r="C176" t="s">
        <v>737</v>
      </c>
      <c r="D176">
        <v>-3.1664687761119218E-4</v>
      </c>
      <c r="E176">
        <v>-63.329375522238436</v>
      </c>
      <c r="F176" t="s">
        <v>268</v>
      </c>
      <c r="J176" s="18">
        <v>46256.01</v>
      </c>
      <c r="K176" t="s">
        <v>737</v>
      </c>
      <c r="L176" t="s">
        <v>560</v>
      </c>
      <c r="M176" t="s">
        <v>64</v>
      </c>
      <c r="N176">
        <v>190</v>
      </c>
      <c r="O176">
        <v>40</v>
      </c>
      <c r="P176">
        <v>804.24771931898704</v>
      </c>
      <c r="Q176" t="s">
        <v>390</v>
      </c>
      <c r="T176">
        <v>32</v>
      </c>
      <c r="U176">
        <v>0</v>
      </c>
      <c r="V176">
        <v>0</v>
      </c>
      <c r="W176">
        <v>0</v>
      </c>
      <c r="X176">
        <v>0</v>
      </c>
      <c r="Y176" t="s">
        <v>591</v>
      </c>
    </row>
    <row r="177" spans="1:25" x14ac:dyDescent="0.25">
      <c r="A177" s="18">
        <v>46256.01</v>
      </c>
      <c r="B177">
        <v>1</v>
      </c>
      <c r="C177" t="s">
        <v>738</v>
      </c>
      <c r="D177">
        <v>-1.8587625889194954E-4</v>
      </c>
      <c r="E177">
        <v>-37.175251778389907</v>
      </c>
      <c r="F177" t="s">
        <v>268</v>
      </c>
      <c r="J177" s="18">
        <v>46256.01</v>
      </c>
      <c r="K177" t="s">
        <v>738</v>
      </c>
      <c r="L177" t="s">
        <v>560</v>
      </c>
      <c r="M177" t="s">
        <v>64</v>
      </c>
      <c r="N177">
        <v>520</v>
      </c>
      <c r="O177">
        <v>40</v>
      </c>
      <c r="P177">
        <v>804.24771931898704</v>
      </c>
      <c r="Q177" t="s">
        <v>390</v>
      </c>
      <c r="T177">
        <v>32</v>
      </c>
      <c r="U177">
        <v>0</v>
      </c>
      <c r="V177">
        <v>0</v>
      </c>
      <c r="W177">
        <v>0</v>
      </c>
      <c r="X177">
        <v>0</v>
      </c>
      <c r="Y177" t="s">
        <v>591</v>
      </c>
    </row>
    <row r="178" spans="1:25" x14ac:dyDescent="0.25">
      <c r="A178" s="18">
        <v>46256.01</v>
      </c>
      <c r="B178">
        <v>1</v>
      </c>
      <c r="C178" t="s">
        <v>739</v>
      </c>
      <c r="D178">
        <v>-3.6023708385093971E-4</v>
      </c>
      <c r="E178">
        <v>-72.047416770187937</v>
      </c>
      <c r="F178" t="s">
        <v>268</v>
      </c>
      <c r="J178" s="18">
        <v>46256.01</v>
      </c>
      <c r="K178" t="s">
        <v>739</v>
      </c>
      <c r="L178" t="s">
        <v>560</v>
      </c>
      <c r="M178" t="s">
        <v>64</v>
      </c>
      <c r="N178">
        <v>79.999999999999986</v>
      </c>
      <c r="O178">
        <v>40</v>
      </c>
      <c r="P178">
        <v>804.24771931898704</v>
      </c>
      <c r="Q178" t="s">
        <v>390</v>
      </c>
      <c r="T178">
        <v>32</v>
      </c>
      <c r="U178">
        <v>0</v>
      </c>
      <c r="V178">
        <v>0</v>
      </c>
      <c r="W178">
        <v>0</v>
      </c>
      <c r="X178">
        <v>0</v>
      </c>
      <c r="Y178" t="s">
        <v>591</v>
      </c>
    </row>
    <row r="179" spans="1:25" x14ac:dyDescent="0.25">
      <c r="A179" s="18"/>
      <c r="J179" s="18"/>
    </row>
    <row r="180" spans="1:25" x14ac:dyDescent="0.25">
      <c r="A180" s="18"/>
      <c r="J18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17</vt:i4>
      </vt:variant>
    </vt:vector>
  </HeadingPairs>
  <TitlesOfParts>
    <vt:vector size="20" baseType="lpstr">
      <vt:lpstr>Расчет</vt:lpstr>
      <vt:lpstr>Settings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2026-08-21T21:07:30Z</dcterms:created>
  <dcterms:modified xsi:type="dcterms:W3CDTF">2026-08-21T21:15:11Z</dcterms:modified>
</cp:coreProperties>
</file>