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78398948-C1CD-40E8-96C0-B437293E9225}" xr6:coauthVersionLast="36" xr6:coauthVersionMax="36" xr10:uidLastSave="{00000000-0000-0000-0000-000000000000}"/>
  <bookViews>
    <workbookView xWindow="0" yWindow="0" windowWidth="38400" windowHeight="20115" xr2:uid="{BBE834D2-A8E0-46E6-878E-64C84E3BD9F1}"/>
  </bookViews>
  <sheets>
    <sheet name="Config" sheetId="4" r:id="rId1"/>
    <sheet name="Инструкции" sheetId="3" r:id="rId2"/>
    <sheet name="Расчет" sheetId="2" r:id="rId3"/>
    <sheet name="Results" sheetId="1" r:id="rId4"/>
  </sheets>
  <functionGroups builtInGroupCount="19"/>
  <definedNames>
    <definedName name="rngBatchSummary">Results!$A$1:$AF$29</definedName>
    <definedName name="rngCircleGeometry">Config!$F$16:$J$25</definedName>
    <definedName name="rngConcreteDiagramPoints">Config!$F$4:$H$13</definedName>
    <definedName name="rngLoadCombinations">Расчет!$A$40:$F$60</definedName>
    <definedName name="rngLShapeGeometry">Config!$F$30:$N$54</definedName>
    <definedName name="rngNDMElementResults">Results!$A$32</definedName>
    <definedName name="rngNDMSectionAnnotations">Results!$AL$32</definedName>
    <definedName name="rngNDMSectionGeometry">Results!$J$32</definedName>
    <definedName name="rngNDMSectionProperties">Results!$AC$32</definedName>
    <definedName name="rngPlotAnnotationSettings">Config!$P$56:$T$68</definedName>
    <definedName name="rngResultSection">Расчет!$S$17:$AH$35</definedName>
    <definedName name="rngRoundedRectangleGeometry">Config!$Q$16:$U$22</definedName>
    <definedName name="rngSignConventionSettings">Config!$N$13:$P$16</definedName>
    <definedName name="rngSteelDiagramPoints">Config!$J$4:$L$13</definedName>
    <definedName name="rngSystemSettings">Config!$A$3:$E$107</definedName>
    <definedName name="rngUnitSettings">Config!$N$3:$Q$9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E21" i="4" l="1"/>
  <c r="DE20" i="4"/>
  <c r="DE19" i="4"/>
  <c r="DE18" i="4"/>
  <c r="DE17" i="4"/>
  <c r="DE16" i="4"/>
  <c r="DE15" i="4"/>
  <c r="DE14" i="4"/>
  <c r="DE13" i="4"/>
  <c r="DE12" i="4"/>
  <c r="DE11" i="4"/>
  <c r="DE10" i="4"/>
  <c r="DE9" i="4"/>
  <c r="DE8" i="4"/>
  <c r="DE7" i="4"/>
  <c r="DE6" i="4"/>
  <c r="DE5" i="4"/>
  <c r="DE4" i="4"/>
  <c r="DE3" i="4"/>
  <c r="DE2" i="4"/>
  <c r="M54" i="4"/>
  <c r="M53" i="4"/>
  <c r="M52" i="4"/>
  <c r="M51" i="4"/>
  <c r="M50" i="4"/>
  <c r="M49" i="4"/>
  <c r="M48" i="4"/>
  <c r="M47" i="4"/>
  <c r="L43" i="4"/>
  <c r="L42" i="4"/>
  <c r="L41" i="4"/>
  <c r="L40" i="4"/>
  <c r="L39" i="4"/>
  <c r="L38" i="4"/>
  <c r="L37" i="4"/>
  <c r="L36" i="4"/>
  <c r="J31" i="4"/>
  <c r="S22" i="4"/>
  <c r="S21" i="4"/>
  <c r="S20" i="4"/>
  <c r="S19" i="4"/>
  <c r="S18" i="4"/>
  <c r="S17" i="4"/>
  <c r="H23" i="4"/>
  <c r="H22" i="4"/>
  <c r="H20" i="4"/>
  <c r="H18" i="4"/>
  <c r="H17" i="4"/>
  <c r="L3" i="4"/>
  <c r="H3" i="4"/>
  <c r="C96" i="4"/>
  <c r="C87" i="4"/>
  <c r="C61" i="4"/>
  <c r="C43" i="4"/>
  <c r="C38" i="4"/>
  <c r="C37" i="4"/>
  <c r="C36" i="4"/>
  <c r="C29" i="4"/>
  <c r="C28" i="4"/>
  <c r="C27" i="4"/>
  <c r="C20" i="4"/>
  <c r="C19" i="4"/>
  <c r="C18" i="4"/>
  <c r="C17" i="4"/>
  <c r="C16" i="4"/>
  <c r="C13" i="4"/>
  <c r="C12" i="4"/>
  <c r="C10" i="4"/>
  <c r="D40" i="2"/>
  <c r="C40" i="2"/>
  <c r="B40" i="2"/>
</calcChain>
</file>

<file path=xl/sharedStrings.xml><?xml version="1.0" encoding="utf-8"?>
<sst xmlns="http://schemas.openxmlformats.org/spreadsheetml/2006/main" count="1300" uniqueCount="814">
  <si>
    <t>Сочетания нагрузок</t>
  </si>
  <si>
    <t>CombinationID</t>
  </si>
  <si>
    <t>N</t>
  </si>
  <si>
    <t>Mx</t>
  </si>
  <si>
    <t>My</t>
  </si>
  <si>
    <t>CalculationType</t>
  </si>
  <si>
    <t>Comment</t>
  </si>
  <si>
    <t>Group1</t>
  </si>
  <si>
    <t>Group2</t>
  </si>
  <si>
    <t>Расчет N + Mx + My</t>
  </si>
  <si>
    <t>Расчет по прочности и трещиностойкости</t>
  </si>
  <si>
    <t>Сочетание</t>
  </si>
  <si>
    <t>Н</t>
  </si>
  <si>
    <t>Н*мм</t>
  </si>
  <si>
    <t>Статус</t>
  </si>
  <si>
    <t>Заполняется после расчета</t>
  </si>
  <si>
    <t>Примечание</t>
  </si>
  <si>
    <t>Единая постановка N + Mx + My</t>
  </si>
  <si>
    <t>Результаты</t>
  </si>
  <si>
    <t>Показатель</t>
  </si>
  <si>
    <t>Значение</t>
  </si>
  <si>
    <t>Ед.</t>
  </si>
  <si>
    <t>Комментарий</t>
  </si>
  <si>
    <t>Диагностика</t>
  </si>
  <si>
    <t>Config</t>
  </si>
  <si>
    <t>Параметр</t>
  </si>
  <si>
    <t>Инструкции</t>
  </si>
  <si>
    <t>[Общие]</t>
  </si>
  <si>
    <t>General.ExecutionReportEnabled</t>
  </si>
  <si>
    <t>No</t>
  </si>
  <si>
    <t>Записывать пошаговый txt-отчет выполнения расчета в папку с книгой. Файл перезаписывается при каждом новом запуске.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</si>
  <si>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</si>
  <si>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</si>
  <si>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</si>
  <si>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</si>
  <si>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</si>
  <si>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</si>
  <si>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</si>
  <si>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</t>
  </si>
  <si>
    <t>мм</t>
  </si>
  <si>
    <t>Базовый шаг квадратной бетонной волоконной сетки для Geometry.Source = Generated. Один и тот же шаг используется по X и Y.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</si>
  <si>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</si>
  <si>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</si>
  <si>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</si>
  <si>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</si>
  <si>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</si>
  <si>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Load.ReferenceOffsetY</t>
  </si>
  <si>
    <t>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</si>
  <si>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[Бетон и диаграмма]</t>
  </si>
  <si>
    <t>Concrete.Rb.ULS</t>
  </si>
  <si>
    <t>Расчетное сопротивление бетона осевому сжатию.</t>
  </si>
  <si>
    <t>Concrete.Rbt.ULS</t>
  </si>
  <si>
    <t>Расчетное сопротивление бетона осевому растяжению.</t>
  </si>
  <si>
    <t>Concrete.Rb.SLS</t>
  </si>
  <si>
    <t>Сопротивление бетона сжатию для эксплуатационных расчетов.</t>
  </si>
  <si>
    <t>Concrete.Rbt.SLS</t>
  </si>
  <si>
    <t>Сопротивление бетона растяжению для режима UseDiagram.</t>
  </si>
  <si>
    <t>Concrete.Eb</t>
  </si>
  <si>
    <t>Начальный модуль деформации бетона.</t>
  </si>
  <si>
    <t>Concrete.TensionMode</t>
  </si>
  <si>
    <t>Ignore</t>
  </si>
  <si>
    <t>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</si>
  <si>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Capacity.ConcreteCompressionLimit</t>
  </si>
  <si>
    <t>Предельная сжимающая деформация бетона для фиксации ConcreteStrainLimit при поиске несущей способности.</t>
  </si>
  <si>
    <t>Capacity.ConcreteTensionLimit</t>
  </si>
  <si>
    <t>Предельная растягивающая деформация бетона для ConcreteTensionStrainLimit; используется только при Concrete.TensionMode = UseDiagram.</t>
  </si>
  <si>
    <t>[Арматура и диаграмма]</t>
  </si>
  <si>
    <t>Steel.RebarProfile</t>
  </si>
  <si>
    <t>Ribbed</t>
  </si>
  <si>
    <t>Профиль арматуры для расчета трещин: Ribbed - периодический профиль, Smooth - гладкая арматура.</t>
  </si>
  <si>
    <t>Steel.Rs.ULS</t>
  </si>
  <si>
    <t>Расчетное сопротивление арматуры растяжению.</t>
  </si>
  <si>
    <t>Steel.Rsc.ULS</t>
  </si>
  <si>
    <t>Расчетное сопротивление арматуры сжатию.</t>
  </si>
  <si>
    <t>Steel.Es</t>
  </si>
  <si>
    <t>Модуль упругости обычной ненапрягаемой арматуры.</t>
  </si>
  <si>
    <t>Capacity.SteelStrainLimit</t>
  </si>
  <si>
    <t>Предельная деформация обычной ненапрягаемой арматуры для фиксации SteelStrainLimit при поиске несущей способности.</t>
  </si>
  <si>
    <t>[Настройки решателя НДС]</t>
  </si>
  <si>
    <t>Solver.Method</t>
  </si>
  <si>
    <t>Newton</t>
  </si>
  <si>
    <t>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</si>
  <si>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</si>
  <si>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</si>
  <si>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</si>
  <si>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</si>
  <si>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</si>
  <si>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силе; меньше значение строже и может увеличить число итераций.</t>
  </si>
  <si>
    <t>Solver.ToleranceMx</t>
  </si>
  <si>
    <t>Применяется к Newton и Secant. Абсолютный допуск равновесия по моменту Mx; меньше значение строже и может увеличить число итераций.</t>
  </si>
  <si>
    <t>Solver.ToleranceMy</t>
  </si>
  <si>
    <t>Применяется к Newton и Secant. Абсолютный допуск равновесия по моменту My; меньше значение строже и может увеличить число итераций.</t>
  </si>
  <si>
    <t>Solver.LineSearchEnabled</t>
  </si>
  <si>
    <t>Yes</t>
  </si>
  <si>
    <t>Применяется к Newton и Secant. Включает line search; повышает устойчивость шага, но может добавить вычисления внутренних усилий.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</si>
  <si>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</si>
  <si>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</si>
  <si>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</si>
  <si>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</si>
  <si>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</si>
  <si>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</si>
  <si>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</si>
  <si>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</si>
  <si>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</si>
  <si>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</si>
  <si>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</si>
  <si>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</si>
  <si>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предельного несущего момента]</t>
  </si>
  <si>
    <t>Calculation.Mode</t>
  </si>
  <si>
    <t>FullCapacity</t>
  </si>
  <si>
    <t>Режим расчета: DirectState - только НДС по заданным усилиям; FullCapacity - дополнительно искать lambdaUltimate для сочетаний I группы.</t>
  </si>
  <si>
    <t>Capacity.Method</t>
  </si>
  <si>
    <t>UltimateStrain</t>
  </si>
  <si>
    <t>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</si>
  <si>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Capacity.SearchMethod</t>
  </si>
  <si>
    <t>Bisection</t>
  </si>
  <si>
    <t>Метод поиска несущей способности для Capacity.Method = LoadMultiplier. Поддерживается только Bisection, Brent или Secant. Пустое или другое значение дает InputError.</t>
  </si>
  <si>
    <t>Capacity.InitialLambda</t>
  </si>
  <si>
    <t>Актуально только для Capacity.Method = LoadMultiplier. Начальный множитель lambda при поиске верхней границы несущей способности.</t>
  </si>
  <si>
    <t>Capacity.ToleranceLambda</t>
  </si>
  <si>
    <t>Актуально только для Capacity.Method = LoadMultiplier. Общий допуск одномерного поиска lambdaUltimate для Bisection, Brent и Secant.</t>
  </si>
  <si>
    <t>Capacity.MaxRetries</t>
  </si>
  <si>
    <t>Актуально только для Capacity.Method = LoadMultiplier. Число повторов после численной несходимости пробного расчета.</t>
  </si>
  <si>
    <t>Capacity.BaseLoadSteps</t>
  </si>
  <si>
    <t>Актуально только для Capacity.Method = LoadMultiplier. Базовое число ступеней нагрузки внутри CSectionSolver для каждого пробного lambda.</t>
  </si>
  <si>
    <t>Capacity.ToleranceStrain</t>
  </si>
  <si>
    <t>Актуально только для Capacity.Method = UltimateStrain. Абсолютный допуск достижения предельной деформации критического бетонного волокна или стержня.</t>
  </si>
  <si>
    <t>Capacity.MaxLambda</t>
  </si>
  <si>
    <t>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</si>
  <si>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</si>
  <si>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</si>
  <si>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[Вывод и трещины]</t>
  </si>
  <si>
    <t>SLS.Crack.Enabled</t>
  </si>
  <si>
    <t>Включить расчет ширины раскрытия нормальных трещин для сочетаний II группы.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</si>
  <si>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</si>
  <si>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</si>
  <si>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SLS.Crack.PsiMode</t>
  </si>
  <si>
    <t>Unity</t>
  </si>
  <si>
    <t>Способ определения psi_s: Unity - принять 1; Refined - искать lambda_crc и sigma_s,crc.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</si>
  <si>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</si>
  <si>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</si>
  <si>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</si>
  <si>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</si>
  <si>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</si>
  <si>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</si>
  <si>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</si>
  <si>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</si>
  <si>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</si>
  <si>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AutoCAD.Export.PrincipalAxesEnabled</t>
  </si>
  <si>
    <t>Выгружать главные центральные оси приведенного сечения в AutoCAD: Yes - выводить; No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</si>
  <si>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</si>
  <si>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</si>
  <si>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AutoCAD.Export.ResultType</t>
  </si>
  <si>
    <t>Stress</t>
  </si>
  <si>
    <t>Что выводить цветом и подписями в AutoCAD: Stress - напряжения; Strain - деформации. Используются данные последнего расчета.</t>
  </si>
  <si>
    <t>AutoCAD.Export.LabelMode</t>
  </si>
  <si>
    <t>NamesAndValues</t>
  </si>
  <si>
    <t>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</si>
  <si>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</si>
  <si>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</si>
  <si>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знаку напряжения: растяжение, сжатие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</si>
  <si>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</si>
  <si>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</si>
  <si>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</si>
  <si>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</t>
  </si>
  <si>
    <t>Anno_Concrete_Positive</t>
  </si>
  <si>
    <t>Слой для подписей положительных напряжений бетона, то есть растянутых бетонных волокон.</t>
  </si>
  <si>
    <t>AutoCAD.Layer.ConcreteCompression</t>
  </si>
  <si>
    <t>Anno_Concrete_Negative</t>
  </si>
  <si>
    <t>Слой для подписей отрицательных, нулевых и почти нулевых напряжений бетона.</t>
  </si>
  <si>
    <t>AutoCAD.Layer.RebarTension</t>
  </si>
  <si>
    <t>Anno_Rebar_Positive</t>
  </si>
  <si>
    <t>Слой для подписей положительных напряжений арматуры, то есть растянутых стержней.</t>
  </si>
  <si>
    <t>AutoCAD.Layer.RebarCompression</t>
  </si>
  <si>
    <t>Anno_Rebar_Negative</t>
  </si>
  <si>
    <t>Слой для подписей отрицательных, нулевых и почти нулевых напряжений арматуры.</t>
  </si>
  <si>
    <t>AutoCAD.Color.ConcreteTension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</si>
  <si>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</si>
  <si>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</si>
  <si>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</si>
  <si>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</si>
  <si>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</si>
  <si>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</si>
  <si>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</si>
  <si>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</si>
  <si>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</si>
  <si>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</si>
  <si>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</si>
  <si>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</si>
  <si>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</si>
  <si>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</si>
  <si>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</si>
  <si>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</si>
  <si>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</si>
  <si>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</si>
  <si>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</si>
  <si>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</si>
  <si>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</si>
  <si>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</si>
  <si>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</si>
  <si>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Plot.ResultType</t>
  </si>
  <si>
    <t>Что показывать цветом и численными подписями: Stress - напряжения; Strain - деформации. Используются сохраненные Results, а не текущие единицы Config.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</si>
  <si>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</si>
  <si>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</si>
  <si>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</si>
  <si>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выбранного ResultType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</si>
  <si>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</si>
  <si>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</si>
  <si>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</si>
  <si>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</si>
  <si>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</si>
  <si>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</si>
  <si>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Plot.PrincipalAxesEnabled</t>
  </si>
  <si>
    <t>Показывать главные центральные оси приведенного сечения.</t>
  </si>
  <si>
    <t>Plot.LoadApplicationPointEnabled</t>
  </si>
  <si>
    <t>Показывать точку приложения нагрузки из последнего расчета.</t>
  </si>
  <si>
    <t>Plot.CentroidEnabled</t>
  </si>
  <si>
    <t>Показывать центр тяжести приведенного сечения.</t>
  </si>
  <si>
    <t>Plot.LegendEnabled</t>
  </si>
  <si>
    <t>Показывать легенду физического состояния и выбранного ResultType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</si>
  <si>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</si>
  <si>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</si>
  <si>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</si>
  <si>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</si>
  <si>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</si>
  <si>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</si>
  <si>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</si>
  <si>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</si>
  <si>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</si>
  <si>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</si>
  <si>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</si>
  <si>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</si>
  <si>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</si>
  <si>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</si>
  <si>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</si>
  <si>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</si>
  <si>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Точки диаграммы бетона</t>
  </si>
  <si>
    <t>Point</t>
  </si>
  <si>
    <t>Strain</t>
  </si>
  <si>
    <t>Точки диаграммы арматуры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</si>
  <si>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</si>
  <si>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</si>
  <si>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</si>
  <si>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</si>
  <si>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</si>
  <si>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</si>
  <si>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</si>
  <si>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</si>
  <si>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</si>
  <si>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</si>
  <si>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Moment</t>
  </si>
  <si>
    <t>tf*m</t>
  </si>
  <si>
    <t>N*mm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</si>
  <si>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</si>
  <si>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</si>
  <si>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</si>
  <si>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</si>
  <si>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</si>
  <si>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</si>
  <si>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</si>
  <si>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</si>
  <si>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</si>
  <si>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</si>
  <si>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</si>
  <si>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</si>
  <si>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</si>
  <si>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</si>
  <si>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</si>
  <si>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</si>
  <si>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</si>
  <si>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</si>
  <si>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</si>
  <si>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</si>
  <si>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</si>
  <si>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</si>
  <si>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</si>
  <si>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</si>
  <si>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</si>
  <si>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</si>
  <si>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</si>
  <si>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</si>
  <si>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</si>
  <si>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</si>
  <si>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</si>
  <si>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</si>
  <si>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</si>
  <si>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</si>
  <si>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</si>
  <si>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-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</si>
  <si>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</si>
  <si>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</si>
  <si>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</si>
  <si>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</si>
  <si>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</si>
  <si>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</si>
  <si>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TextHeight</t>
  </si>
  <si>
    <t>Высота текста в реальных миллиметрах сечения; при выводе пересчитывается в размер шрифта Chart.</t>
  </si>
  <si>
    <t>TextGap</t>
  </si>
  <si>
    <t>Зазор между линией аннотации и текстом в реальных миллиметрах сечения.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</si>
  <si>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</si>
  <si>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</si>
  <si>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</si>
  <si>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</si>
  <si>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</si>
  <si>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</si>
  <si>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</si>
  <si>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</si>
  <si>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</si>
  <si>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</si>
  <si>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</si>
  <si>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</si>
  <si>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</si>
  <si>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</si>
  <si>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Диаметр круглого сечения.</t>
  </si>
  <si>
    <t>Rebar.AxisDistance</t>
  </si>
  <si>
    <t>Расстояние от грани круга до оси стержней as.</t>
  </si>
  <si>
    <t>Rebar.Count</t>
  </si>
  <si>
    <t>Количество продольных стержней по окружности.</t>
  </si>
  <si>
    <t>Rebar.Diameter</t>
  </si>
  <si>
    <t>Диаметр продольных стержней первого ряда.</t>
  </si>
  <si>
    <t>дополнительные ряды арматуры</t>
  </si>
  <si>
    <t>Параметры дополнительных рядов. Пустой или нулевой диаметр означает, что ряд не создается.</t>
  </si>
  <si>
    <t>Rebar.Diameter2</t>
  </si>
  <si>
    <t>Диаметр стержней второго ряда. Второй ряд строится от стержней первого ряда.</t>
  </si>
  <si>
    <t>Rebar.Diameter3</t>
  </si>
  <si>
    <t>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</si>
  <si>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Rebar.Loc2row</t>
  </si>
  <si>
    <t>Stacked</t>
  </si>
  <si>
    <t>Расположение второго ряда: Stacked - внутрь сечения по радиусу к центру; SideBySide - справа по часовой касательной.</t>
  </si>
  <si>
    <t>Rebar.Loc3row</t>
  </si>
  <si>
    <t>Расположение третьего ряда: Stacked - внутрь сечения по радиусу к центру; SideBySide - справа по часовой касательной.</t>
  </si>
  <si>
    <t>SideBySide</t>
  </si>
  <si>
    <t>Скругленный прямоугольник</t>
  </si>
  <si>
    <t>RoundedRectangle.Width</t>
  </si>
  <si>
    <t>Ширина прямоугольного сечения со скруглениями.</t>
  </si>
  <si>
    <t>RoundedRectangle.Height</t>
  </si>
  <si>
    <t>Высота прямоугольного сечения со скруглениями.</t>
  </si>
  <si>
    <t>RoundedRectangle.RadiusTopLeft</t>
  </si>
  <si>
    <t>Радиус верхнего левого угла.</t>
  </si>
  <si>
    <t>RoundedRectangle.RadiusTopRight</t>
  </si>
  <si>
    <t>Радиус верхнего правого угла.</t>
  </si>
  <si>
    <t>RoundedRectangle.RadiusBottomRight</t>
  </si>
  <si>
    <t>Радиус нижнего правого угла.</t>
  </si>
  <si>
    <t>RoundedRectangle.RadiusBottomLeft</t>
  </si>
  <si>
    <t>Радиус нижнего левого угла.</t>
  </si>
  <si>
    <t>Г-образное сечение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</si>
  <si>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</si>
  <si>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</si>
  <si>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</si>
  <si>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</si>
  <si>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</si>
  <si>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</si>
  <si>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</si>
  <si>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</si>
  <si>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</si>
  <si>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</si>
  <si>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</si>
  <si>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</si>
  <si>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</si>
  <si>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</si>
  <si>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</si>
  <si>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</si>
  <si>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</si>
  <si>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</si>
  <si>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</si>
  <si>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</si>
  <si>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</si>
  <si>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</si>
  <si>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</si>
  <si>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</si>
  <si>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</si>
  <si>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</si>
  <si>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</si>
  <si>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</si>
  <si>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</si>
  <si>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</si>
  <si>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</si>
  <si>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</si>
  <si>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</si>
  <si>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грани _1 H1.</t>
  </si>
  <si>
    <t>Дополнительные ряды у грани _2 H1.</t>
  </si>
  <si>
    <t>Дополнительные ряды у грани _1 B1.</t>
  </si>
  <si>
    <t>Дополнительные ряды у грани _2 B1.</t>
  </si>
  <si>
    <t>Дополнительные ряды у грани _1 H2.</t>
  </si>
  <si>
    <t>Дополнительные ряды у грани _2 H2.</t>
  </si>
  <si>
    <t>Дополнительные ряды у грани _1 B2.</t>
  </si>
  <si>
    <t>Дополнительные ряды у грани _2 B2.</t>
  </si>
  <si>
    <t>EverySecondBar</t>
  </si>
  <si>
    <t>AutoCAD</t>
  </si>
  <si>
    <t>RoundedRectangle</t>
  </si>
  <si>
    <t>Circle</t>
  </si>
  <si>
    <t>UseDiagram</t>
  </si>
  <si>
    <t>Smooth</t>
  </si>
  <si>
    <t>DirectState</t>
  </si>
  <si>
    <t>Secant</t>
  </si>
  <si>
    <t>LoadMultiplier</t>
  </si>
  <si>
    <t>Brent</t>
  </si>
  <si>
    <t>Refined</t>
  </si>
  <si>
    <t>FullTension</t>
  </si>
  <si>
    <t>ValuesOnly</t>
  </si>
  <si>
    <t>Common</t>
  </si>
  <si>
    <t>Inside</t>
  </si>
  <si>
    <t>Small</t>
  </si>
  <si>
    <t>Wide</t>
  </si>
  <si>
    <t>Stealth</t>
  </si>
  <si>
    <t>Diamond</t>
  </si>
  <si>
    <t>Oval</t>
  </si>
  <si>
    <t>Open</t>
  </si>
  <si>
    <t>Инструкции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</si>
  <si>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</si>
  <si>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</si>
  <si>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</si>
  <si>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</si>
  <si>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</si>
  <si>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</si>
  <si>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Инструкции описывают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</si>
  <si>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Единицы измерения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</si>
  <si>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</si>
  <si>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</si>
  <si>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</si>
  <si>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</si>
  <si>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Коэффициенты преобразования хранятся в CUnitSystem, а не размазываются по solver-классам.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</si>
  <si>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</si>
  <si>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</si>
  <si>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Нормативный статус: выбор единиц не является расчетным допущением СП. Он должен сохранять физический результат при корректном обратимом пересчете.</t>
  </si>
  <si>
    <t>Система знаков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</si>
  <si>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</si>
  <si>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</si>
  <si>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</si>
  <si>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CUnitSystem преобразует внешний знак в INTERNAL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</si>
  <si>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</si>
  <si>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</si>
  <si>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Нормативная связь: СП 63.13330.2018, п. 8.1.22 задает правило знаков для деформаций и напряжений НДМ: сжатие со знаком минус, растяжение со знаком плюс. Пользовательская convention является интерфейсной надстройкой и не меняет INTERNAL-математику.</t>
  </si>
  <si>
    <t>Таблица задает расчетную диаграмму бетона как набор точек strain-stress. Программа не хранит отдельные типы ConcreteBilinear, ConcreteTrilinear и не переключает название диаграммы.</t>
  </si>
  <si>
    <t>Каждая строка - одна точка диаграммы. Деформация задается безразмерно, напряжение задается в выбранной INPUT единице Stress и перед расчетом переводится в МПа.</t>
  </si>
  <si>
    <t>Формула: σ = σᵢ + (σᵢ₊₁ − σᵢ) · (ε − εᵢ) / (εᵢ₊₁ − εᵢ).</t>
  </si>
  <si>
    <t>Касательная жесткость на участке равна наклону этого отрезка.</t>
  </si>
  <si>
    <t>Для двухлинейной или трехлинейной диаграммы пользователь просто меняет координаты точек. Все заданные точки участвуют в построении.</t>
  </si>
  <si>
    <t>Если нужно учитывать растянутый бетон, добавьте точки с положительными растянутыми деформациями и выберите Concrete.TensionMode = UseDiagram. Если выбран Ignore, растянутая ветвь диаграммы не участвует во внутренних усилиях.</t>
  </si>
  <si>
    <t>Нормативная трассировка: форма диаграммы и предельные деформации должны сверяться пользователем по СП 63/СП 35. Программа принимает точки как исходные данные и не доказывает их нормативную корректность.</t>
  </si>
  <si>
    <t>Таблица задает диаграмму работы арматуры как набор точек strain-stress.</t>
  </si>
  <si>
    <t>Для каждого стержня решатель сначала вычисляет деформацию по плоскости epsilon(x,y), затем CSteelDiagramMaterial получает напряжение по этой диаграмме.</t>
  </si>
  <si>
    <t>Несколько рядов и разные диаметры стержней меняют геометрию и площадь арматуры, но материал на текущем этапе остается один: Steel.RebarProfile и одна пользовательская диаграмма.</t>
  </si>
  <si>
    <t>Нормативный статус: программа не проверяет, что точки соответствуют конкретному классу арматуры по СП. Пользователь отвечает за корректность заданной диаграммы.</t>
  </si>
  <si>
    <t>Аннотации схемы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</si>
  <si>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</si>
  <si>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</si>
  <si>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Offset, TextHeight и TextGap трактуются как модельные миллиметры сечения. При отрисовке CPlotAnnotationLayout переводит их в координаты Chart с учетом текущего масштаба.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</si>
  <si>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</si>
  <si>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линии, а сама размерная линия остается в своем semantic-положении.</t>
  </si>
  <si>
    <t>LineWeight, ArrowSize и ArrowType влияют только на внешний вид. Они не меняют расчет, Results и AutoCAD export.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</si>
  <si>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</si>
  <si>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</si>
  <si>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</si>
  <si>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</si>
  <si>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</si>
  <si>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</si>
  <si>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</si>
  <si>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Semantic-аннотации размеров и групповых подписей арматуры создаются специализированным builder Г-сечения и затем сохраняются в rngNDMSectionAnnotations. CSectionPlotter не должен угадывать грани по координатам.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</si>
  <si>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</si>
  <si>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</si>
  <si>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</si>
  <si>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попадает весь пользовательский сценарий от старта макроса до финального сообщения: чтение Config, очистка старых результатов, загрузка единиц и знаков, построение геометрии, создание материалов, чтение сочетаний, перенос точки приложения нагрузки, расчет каждого LC, запись Results и обновление схемы.</t>
  </si>
  <si>
    <t>Для каждого сочетания дополнительно выводится диагностика solver-ов: итерации прямого CSectionSolver, probe-точки поиска несущей способности и диагностические строки расчета трещин.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</si>
  <si>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</si>
  <si>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</si>
  <si>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волоконную сетку, автоматически расставляет арматуру и формирует semantic-аннотации для схемы. Этот режим удобен для параметрических сечений Circle, RoundedRectangle и LShape.</t>
  </si>
  <si>
    <t>AutoCAD: программа подключается к активному чертежу AutoCAD и импортирует только объекты Region на слоях, заданных в AutoCAD.Import.ConcreteLayer и AutoCAD.Import.RebarLayer. Все координаты и площади чертежа считаются заданными в миллиметрах.</t>
  </si>
  <si>
    <t>После получения данных оба режима формируют один и тот же CSectionModel: расчетное ядро, решатели, writer Results, AutoCAD export и Excel-схема не должны знать, каким способом построена модель.</t>
  </si>
  <si>
    <t>Инженерное последствие: импортированная из AutoCAD сетка обычно не содержит сведений о смысловых гранях и группах арматуры. Поэтому для нее сохраняются фактические элементы, Bounds и расчетные результаты, но специальные подписи граней и характерные размеры выводятся только если такие annotations надежно сформированы.</t>
  </si>
  <si>
    <t>Проверка: если выбран AutoCAD и AutoCAD закрыт, нет активного чертежа или на нужных слоях нет Region, расчет прерывается понятным сообщением; молчаливого перехода на Generated быть не должно.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</si>
  <si>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</si>
  <si>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каждого типа сечения специализированный provider создает геометрию, расстановку арматуры и semantic-аннотации, а дальше данные идут в общий CSectionModel.</t>
  </si>
  <si>
    <t>Не используется при Geometry.Source = AutoCAD, потому что в этом режиме фактическая сетка приходит из чертежа.</t>
  </si>
  <si>
    <t>Архитектурное правило: добавление новой формы не должно приводить к ветвлениям в CNDMResultsWriter, CSectionPlotDataReader, CPlotAnnotationLayout или CSectionPlotter. Меняются только компоненты уровня конкретной формы и точка регистрации provider.</t>
  </si>
  <si>
    <t>Mesh.Step - Базовый шаг квадратной бетонной волоконной сетки для Geometry.Source = Generated. Один и тот же шаг используется по X и Y.</t>
  </si>
  <si>
    <t>Используется один общий шаг по X и Y. Отдельные Mesh.StepX и Mesh.StepY намеренно не применяются, чтобы бетонные элементы оставались квадратными и визуализация не искажала размер маркеров.</t>
  </si>
  <si>
    <t>Меньший шаг повышает точность описания контура, площади, центра тяжести, главных осей и распределения напряжений, но увеличивает число бетонных элементов и время расчета.</t>
  </si>
  <si>
    <t>Формула: A_cell = s², где s = Mesh.Step.</t>
  </si>
  <si>
    <t>Формула для граничной ячейки: A_boundary = (n_inside / n_total) · s².</t>
  </si>
  <si>
    <t>Нормативный статус: это численный параметр дискретизации НДМ, а не коэффициент СП. Его выбирают по требуемой точности и приемлемому времени расчета.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</si>
  <si>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</si>
  <si>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базовая ячейка проверяется по центру. Значение больше 1 делит граничную ячейку на subdivisions x subdivisions подъячеек и суммирует вошедшие части.</t>
  </si>
  <si>
    <t>Приближенная площадь граничной ячейки: A_boundary = n_inside / n_total * Mesh.Step^2,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</si>
  <si>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</si>
  <si>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Нормативный статус: это принятая численная аппроксимация геометрии, прямого требования СП к этому параметру нет.</t>
  </si>
  <si>
    <t>Load.ReferenceOffsetX - Смещение точки приложения нагрузок по X относительно центра тяжести приведенного сечения. 0 означает, что Mx/My заданы относительно этого центра.</t>
  </si>
  <si>
    <t>Если Load.ReferenceOffsetX = 0 и Load.ReferenceOffsetY = 0, заданные N, Mx и My относятся к центру тяжести приведенного сечения бетон + арматура. Техническое начало координат формы, например нижний левый угол LShape, на физический результат не влияет.</t>
  </si>
  <si>
    <t>Если задан offset, программа переносит моменты от пользовательской точки приложения нагрузки к внутренней системе координат расчетных элементов перед передачей в CSectionSolver.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</si>
  <si>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</si>
  <si>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Нормативная связь: равновесие внутренних усилий НДМ сверяется с СП 63.13330.2018, п. 8.1.23. Проектная документация фиксирует формулы внутренних моментов в docs/CoordinateSystem.md.</t>
  </si>
  <si>
    <t>Практическая проверка: при чистом N и нулевом offset для симметричного сечения кривизны должны быть близки к нулю; для несимметричного сечения они также не должны появляться только из-за выбора внутреннего начала координат.</t>
  </si>
  <si>
    <t>Load.ReferenceOffsetY - Смещение точки приложения нагрузок по Y относительно центра тяжести приведенного сечения. Рабочие моменты для решателя автоматически переносятся к текущим координатам волокон.</t>
  </si>
  <si>
    <t>Concrete.Rb.ULS - Расчетное сопротивление бетона осевому сжатию.</t>
  </si>
  <si>
    <t>Это исходное значение материала бетона в Config. Оно хранится отдельно от расчетных точек диаграммы, чтобы пользователь видел принятый набор характеристик.</t>
  </si>
  <si>
    <t>Фактическое напряжение бетонного элемента в НДМ определяется по rngConcreteDiagramPoints. Поэтому после изменения сопротивлений или модуля нужно убедиться, что точки диаграммы также соответствуют принятой модели материала.</t>
  </si>
  <si>
    <t>Единицы напряжений вводятся в выбранной INPUT единице Stress и перед расчетом переводятся в МПа. Внутри ядра 1 МПа = 1 Н/мм2.</t>
  </si>
  <si>
    <t>Нормативная трассировка: значения сопротивлений и модуля следует сверять по СП 63.13330.2018 и при необходимости по СП 35.13330.2011. Конкретные таблицы/пункты в этой версии справки требуют дополнительного подтверждения по локальным norm-файлам.</t>
  </si>
  <si>
    <t>Concrete.Rbt.ULS - Расчетное сопротивление бетона осевому растяжению.</t>
  </si>
  <si>
    <t>Concrete.Rb.SLS - Сопротивление бетона сжатию для эксплуатационных расчетов.</t>
  </si>
  <si>
    <t>Concrete.Rbt.SLS - Сопротивление бетона растяжению для режима UseDiagram.</t>
  </si>
  <si>
    <t>Concrete.Eb - Начальный модуль деформации бетона.</t>
  </si>
  <si>
    <t>Concrete.TensionMode - Работа растянутого бетона: Ignore - нулевое напряжение и касательная жесткость; UseDiagram - использовать точки диаграммы бетона в растянутой зоне.</t>
  </si>
  <si>
    <t>Ignore: если деформация бетонного элемента соответствует растяжению, расчетное напряжение бетона и касательная жесткость принимаются равными нулю. Такие элементы на схеме получают физическое состояние InactiveTensionConcrete и отдельный серый цвет.</t>
  </si>
  <si>
    <t>UseDiagram: для растянутых деформаций напряжение и касательная жесткость берутся из пользовательских точек rngConcreteDiagramPoints. В этом режиме пользователь сам задает растянутую ветвь диаграммы.</t>
  </si>
  <si>
    <t>Формула кусочно-линейной диаграммы: σ = σᵢ + (σᵢ₊₁ − σᵢ) · (ε − εᵢ) / (εᵢ₊₁ − εᵢ).</t>
  </si>
  <si>
    <t>Связанные настройки: при UseDiagram становится физически осмысленным Capacity.ConcreteTensionLimit. При Ignore растянутый бетон не несет усилий, поэтому такой предел внутри программы не является обязательным критерием.</t>
  </si>
  <si>
    <t>Нормативный статус: учет или неучет растянутого бетона зависит от расчетной стадии и принятой методики. Нельзя считать это автоматической нормативной проверкой; пользователь должен сверить выбранный режим с СП 63/СП 35 для конкретной задачи.</t>
  </si>
  <si>
    <t>Capacity.ConcreteCompressionLimit - Предельная сжимающая деформация бетона для фиксации ConcreteStrainLimit при поиске несущей способности.</t>
  </si>
  <si>
    <t>Это физический критерий предельного состояния для наиболее сжатого бетонного элемента.</t>
  </si>
  <si>
    <t>В LoadMultiplier предел проверяется на каждой пробной lambda. В UltimateStrain он входит в условие достижения предельной деформации.</t>
  </si>
  <si>
    <t>Изменение этого значения напрямую меняет lambdaUltimate и критический элемент. Это не параметр точности.</t>
  </si>
  <si>
    <t>Нормативная трассировка: конкретное значение пользователь должен сверять по применяемой версии СП 63/СП 35.</t>
  </si>
  <si>
    <t>Capacity.ConcreteTensionLimit - Предельная растягивающая деформация бетона для ConcreteTensionStrainLimit; используется только при Concrete.TensionMode = UseDiagram.</t>
  </si>
  <si>
    <t>Это физический критерий предельного растяжения бетона, но только когда Concrete.TensionMode = UseDiagram.</t>
  </si>
  <si>
    <t>Если Concrete.TensionMode = Ignore, растянутый бетон не несет усилий и отдельный предел растяжения бетона внутри расчета не является обязательным критерием.</t>
  </si>
  <si>
    <t>Настройка нужна для тех случаев, когда пользователь явно задал растянутую ветвь бетонной диаграммы.</t>
  </si>
  <si>
    <t>Steel.RebarProfile - Профиль арматуры для расчета трещин: Ribbed - периодический профиль, Smooth - гладкая арматура.</t>
  </si>
  <si>
    <t>Эта настройка описывает не марку стали, а форму поверхности продольной арматуры для расчета раскрытия нормальных трещин.</t>
  </si>
  <si>
    <t>Ribbed означает арматуру периодического профиля. В формуле СП 63 п. 8.2.15 для нее принимается phi2 = 0.5.</t>
  </si>
  <si>
    <t>Smooth означает гладкую арматуру. Для нее принимается phi2 = 0.8.</t>
  </si>
  <si>
    <t>Формула продолжительного раскрытия, используемая программой: a_crc = phi1 * phi2 * phi3 * psi_s * (sigma_s / Es) * ls, СП 63.13330.2018, п. 8.2.15, формула (8.128).</t>
  </si>
  <si>
    <t>Steel.RebarProfile не является отдельным материалом в таблице Results: расчетный snapshot хранит тип элемента и геометрию, а напряжения по-прежнему берутся из rngSteelDiagramPoints.</t>
  </si>
  <si>
    <t>Разные профили или разные диаграммы арматуры в одном сечении сейчас не поддерживаются. Для AutoCAD import достаточно указать слой арматуры; профиль берется из этой настройки.</t>
  </si>
  <si>
    <t>Steel.Rs.ULS - Расчетное сопротивление арматуры растяжению.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</si>
  <si>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</si>
  <si>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rngSteelDiagramPoints. Переключателей двухлинейная/трехлинейная диаграмма нет: расчет всегда получает массив точек и выполняет кусочно-линейную интерполяцию.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</si>
  <si>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</si>
  <si>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</si>
  <si>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Steel.Rsc.ULS - Расчетное сопротивление арматуры сжатию.</t>
  </si>
  <si>
    <t>Steel.Es - Модуль упругости обычной ненапрягаемой арматуры.</t>
  </si>
  <si>
    <t>Capacity.SteelStrainLimit - Предельная деформация обычной ненапрягаемой арматуры для фиксации SteelStrainLimit при поиске несущей способности.</t>
  </si>
  <si>
    <t>Это физический критерий предельной деформации обычной ненапрягаемой арматуры.</t>
  </si>
  <si>
    <t>Capacity solver сравнивает с этим пределом критические стержни при поиске несущей способности.</t>
  </si>
  <si>
    <t>Изменение значения напрямую влияет на предельный коэффициент lambda и на то, какой элемент станет критическим.</t>
  </si>
  <si>
    <t>Solver.Method - Метод решения системы равновесия CSectionSolver. Допустимо только Newton или Secant; по умолчанию Newton; пустое или иное значение дает InputError без скрытого fallback.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</si>
  <si>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</si>
  <si>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</si>
  <si>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Пустое или недопустимое значение дает InputError.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</si>
  <si>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</si>
  <si>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CSectionSolver на одной ступени приложения нагрузки.</t>
  </si>
  <si>
    <t>Если равновесие не найдено за это число итераций, текущая ступень получает NumericalFailure.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</si>
  <si>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</si>
  <si>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</si>
  <si>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CSectionSolver дробит заданную нагрузку в прямом расчете НДС.</t>
  </si>
  <si>
    <t>При нескольких ступенях solver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</si>
  <si>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</si>
  <si>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силе; меньше значение строже и может увеличить число итераций.</t>
  </si>
  <si>
    <t>Это абсолютный допуск невязки по продольной силе N во внутренних единицах.</t>
  </si>
  <si>
    <t>Критерий по силе считается выполненным, когда |Nint − N| не больше заданного значения.</t>
  </si>
  <si>
    <t>Меньший допуск строже, но может увеличить число итераций или вызвать NumericalFailure из-за слишком жесткого критерия.</t>
  </si>
  <si>
    <t>Solver.ToleranceMx - Применяется к Newton и Secant. Абсолютный допуск равновесия по моменту Mx; меньше значение строже и может увеличить число итераций.</t>
  </si>
  <si>
    <t>Это абсолютный допуск невязки по моменту Mx во внутренних единицах.</t>
  </si>
  <si>
    <t>Критерий считается выполненным, когда |Mxint − Mx| не больше заданного значения.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</si>
  <si>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</si>
  <si>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My; меньше значение строже и может увеличить число итераций.</t>
  </si>
  <si>
    <t>Это абсолютный допуск невязки по моменту My во внутренних единицах.</t>
  </si>
  <si>
    <t>Критерий считается выполненным, когда |Myint − My| не больше заданного значения.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</si>
  <si>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</si>
  <si>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Включает line search; повышает устойчивость шага, но может добавить вычисления внутренних усилий.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</si>
  <si>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</si>
  <si>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</si>
  <si>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</si>
  <si>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</si>
  <si>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 solver-а.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</si>
  <si>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</si>
  <si>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</si>
  <si>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</si>
  <si>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</si>
  <si>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solver уже уменьшил шаг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</si>
  <si>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</si>
  <si>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</si>
  <si>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 solver-а.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</si>
  <si>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</si>
  <si>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</si>
  <si>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</si>
  <si>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 solver-а.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</si>
  <si>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</si>
  <si>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</si>
  <si>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NumericalFailure.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</si>
  <si>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</si>
  <si>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</si>
  <si>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</si>
  <si>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</si>
  <si>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</si>
  <si>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</si>
  <si>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</si>
  <si>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</si>
  <si>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Calculation.Mode - Режим расчета: DirectState - только НДС по заданным усилиям; FullCapacity - дополнительно искать lambdaUltimate для сочетаний I группы.</t>
  </si>
  <si>
    <t>DirectState: выполняется только поиск напряженно-деформированного состояния. Решатель находит epsilon0, kappaX, kappaY из условий равновесия, но несущая способность lambdaUltimate не ищется.</t>
  </si>
  <si>
    <t>FullCapacity: после решения НДС выполняется определение несущей способности выбранным Capacity.Method.</t>
  </si>
  <si>
    <t>Для DirectState в результатах выводится StrainSafetyFactor. Это не полноценный коэффициент несущей способности, а ориентировочная оценка по фактически достигнутым деформациям без дополнительного расчета.</t>
  </si>
  <si>
    <t>Если сочетание пустое по всем трем усилиям N, Mx, My, оно не считается. Пустой Mx или My при заданных других усилиях трактуется как 0.</t>
  </si>
  <si>
    <t>Capacity.Method - Метод определения несущей способности по I группе. Не влияет на расчет НДС и трещин: LoadMultiplier масштабирует заданный вектор моментов; UltimateStrain ищет состояние по достижению предельной деформации при сохранении направления Mx/My.</t>
  </si>
  <si>
    <t>LoadMultiplier: продольная сила остается постоянной, а моментный вектор масштабируется.</t>
  </si>
  <si>
    <t>Формула LoadMultiplier: N = const; Mx = λ·Mx_base; My = λ·My_base.</t>
  </si>
  <si>
    <t>UltimateStrain: программа ищет состояние, в котором одновременно выполняется равновесие по N, сохраняется направление вектора моментов Mx/My и достигается одна из предельных деформаций бетона или арматуры.</t>
  </si>
  <si>
    <t>Оба метода используют один и тот же CSectionSolver, одинаковые диаграммы материалов и одинаковый формат результата. Отдельных режимов SolveMx/SolveMy/SolveMxy нет.</t>
  </si>
  <si>
    <t>Практический выбор: UltimateStrain обычно быстрее, потому что не требует многократного внешнего масштабирования нагрузки. LoadMultiplier полезен как более прямой контроль коэффициента запаса к заданному моментному вектору и как сопоставительный метод.</t>
  </si>
  <si>
    <t>Численная несходимость не является физическим разрушением. Если CSectionSolver не нашел равновесие, статус должен показывать NumericalFailure, а не ConcreteStrainLimit или SteelStrainLimit.</t>
  </si>
  <si>
    <t>Capacity.SearchMethod - Метод поиска несущей способности для Capacity.Method = LoadMultiplier. Поддерживается только Bisection, Brent или Secant. Пустое или другое значение дает InputError.</t>
  </si>
  <si>
    <t>Все варианты используют одну целевую функцию, одинаковые границы, одинаковые допуски и одинаковый критерий предельного состояния.</t>
  </si>
  <si>
    <t>Bisection: сохраняет интервал, внутри которого меняется знак целевой функции, и на каждой итерации делит его пополам. Метод устойчивый, но может требовать больше вычислений.</t>
  </si>
  <si>
    <t>Brent: программа всегда держит безопасный интервал, где с одной стороны сечение еще проходит проверку, а с другой уже достигнут предел. Если форма функции позволяет, Brent делает более быстрый расчетный шаг внутри этого интервала. Если такой шаг получается рискованным, он возвращается к обычному безопасному шагу внутри интервала.</t>
  </si>
  <si>
    <t>Secant: метод секущих берет две последние проверенные точки lambda и по ним прогнозирует следующую точку. Это не бицекция и не Brent под другим названием. Если прогноз выходит за допустимый интервал, дает слишком малый шаг, NaN/overflow или упирается в застой, расчет останавливается с диагностикой.</t>
  </si>
  <si>
    <t>Пустое или недопустимое значение приводит к InputError. Программа не должна молча переключаться на Bisection или Brent.</t>
  </si>
  <si>
    <t>Нормативный статус: выбор Bisection/Brent/Secant - это численная техника поиска предельного множителя, а не отдельное требование СП.</t>
  </si>
  <si>
    <t>Capacity.InitialLambda - Актуально только для Capacity.Method = LoadMultiplier. Начальный множитель lambda при поиске верхней границы несущей способности.</t>
  </si>
  <si>
    <t>Это первая пробная величина lambda для метода LoadMultiplier.</t>
  </si>
  <si>
    <t>Если при этом lambda сечение еще не достигло предельного состояния, solver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</si>
  <si>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</si>
  <si>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Capacity.ToleranceLambda - Актуально только для Capacity.Method = LoadMultiplier.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</si>
  <si>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</si>
  <si>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</si>
  <si>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</si>
  <si>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Capacity.MaxRetries - Актуально только для Capacity.Method = LoadMultiplier. Число повторов после численной несходимости пробного расчета.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</si>
  <si>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</si>
  <si>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</si>
  <si>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NumericalFailure. Такая несходимость не считается разрушением сечения.</t>
  </si>
  <si>
    <t>Capacity.BaseLoadSteps - Актуально только для Capacity.Method = LoadMultiplier. Базовое число ступеней нагрузки внутри CSectionSolver для каждого пробного lambda.</t>
  </si>
  <si>
    <t>Это базовое число ступеней приложения нагрузки во внутреннем CSectionSolver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</si>
  <si>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</si>
  <si>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</si>
  <si>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Capacity.ToleranceStrain - Актуально только для Capacity.Method = UltimateStrain.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</si>
  <si>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</si>
  <si>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</si>
  <si>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задаются отдельно: Capacity.ConcreteCompressionLimit, Capacity.ConcreteTensionLimit и Capacity.SteelStrainLimit.</t>
  </si>
  <si>
    <t>Меньший допуск дает более строгую численную остановку, но может увеличить число итераций или привести к NumericalFailure на сложной геометрии/диаграмме. Больший допуск ускоряет расчет, но делает найденный lambda менее точным.</t>
  </si>
  <si>
    <t>Нормативный статус: это численный допуск реализации, а не требование СП.</t>
  </si>
  <si>
    <t>Capacity.MaxLambda - Актуально для обоих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</si>
  <si>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</si>
  <si>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solver расширяет скобку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</si>
  <si>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</si>
  <si>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Capacity.SolverMaxIterations - Актуально для обоих методов. В LoadMultiplier задает максимум итераций Ньютона на ступень внутреннего решателя; в UltimateStrain задает максимум итераций прямого поиска предельного состояния.</t>
  </si>
  <si>
    <t>Для LoadMultiplier эта настройка передается во внутренний CSectionSolver: столько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</si>
  <si>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</si>
  <si>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NumericalFailure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</si>
  <si>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solver останавливается по Maximum iterations reached.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</si>
  <si>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Нормативный статус: это защитный численный параметр программы, а не расчетный коэффициент СП.</t>
  </si>
  <si>
    <t>SLS.Crack.Enabled - Включить расчет ширины раскрытия нормальных трещин для сочетаний II группы.</t>
  </si>
  <si>
    <t>Yes включает расчет ширины раскрытия нормальных трещин только для сочетаний II группы. В таблице сочетаний это строки с CalculationType = Group2.</t>
  </si>
  <si>
    <t>No полностью пропускает расчет трещин: CrackStatus будет NotCalculated, а поиск несущей способности по I группе не изменится.</t>
  </si>
  <si>
    <t>Текущая реализация считает только продолжительное раскрытие: a_crc = a_crc1. Непродолжительное раскрытие по формуле a_crc = a_crc1 + a_crc2 - a_crc3 не реализовано.</t>
  </si>
  <si>
    <t>Нормативная связь: условие проверки a_crc &lt;= a_crc,ult приведено в СП 63.13330.2018, п. 8.2.6, формула (8.118); продолжительное раскрытие a_crc = a_crc1 - п. 8.2.7, формула (8.119).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</si>
  <si>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</si>
  <si>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</si>
  <si>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</si>
  <si>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использования: eta_crc = a_crc / a_crc,ult.</t>
  </si>
  <si>
    <t>Если eta_crc &gt; 1, рассчитанная ширина раскрытия превышает заданный пользователем предел. Это не означает численную ошибку solver-а; это результат проверки.</t>
  </si>
  <si>
    <t>Нормативная связь: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</si>
  <si>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SLS.Crack.PsiMode - Способ определения psi_s: Unity - принять 1; Refined - искать lambda_crc и sigma_s,crc.</t>
  </si>
  <si>
    <t>Эта настройка задает, как определить коэффициент psi_s в формуле раскрытия трещины.</t>
  </si>
  <si>
    <t>Unity: psi_s принимается равным 1. Это самый простой и быстрый режим. Раскрытие считается по уже найденному НДС текущего сочетания, без повторного вызова solver-а специально для трещин.</t>
  </si>
  <si>
    <t>Refined: программа дополнительно ищет lambda_crc при масштабировании всего вектора нагрузок (N, Mx, My) без изменения направления нагрузки. Критерий образования трещины - достижение растянутым бетоном деформации eps_bt,crc = Rbt,ser / Eb.</t>
  </si>
  <si>
    <t>После нахождения lambda_crc программа повторно решает состояние lambda_crc * LC уже с выключенным растянутым бетоном и получает sigma_s,crc по тому же набору стержней, который выбран для текущего LC.</t>
  </si>
  <si>
    <t>Формула: psi_s = 1 - 0.8 * sigma_s,crc / sigma_s. При численных выбросах значение ограничивается диапазоном 0...1.</t>
  </si>
  <si>
    <t>Если lambda_crc &gt; 1, трещина при заданной нагрузке еще не образована, поэтому a_crc принимается равным 0.</t>
  </si>
  <si>
    <t>Важно: Concrete.TensionMode из прочностного расчета здесь не управляет моментом образования трещины. Для lambda_crc растянутый бетон всегда учитывается по SLS-ветви: либо по положительным точкам rngConcreteDiagramPoints, либо по fallback-линии с Concrete.Eb и Concrete.Rbt.SLS.</t>
  </si>
  <si>
    <t>Нормативная связь: базовая формула раскрытия - СП 63.13330.2018, п. 8.2.15, формула (8.128). Поиск lambda_crc для произвольного сечения N + Mx + My является инженерной НДМ-интерпретацией, потому что СП не дает отдельной явной процедуры для такой дискретной модели.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</si>
  <si>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</si>
  <si>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</si>
  <si>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</si>
  <si>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ограничивается величинами 2a и 0.5h, а если эта зона заходит за нейтральную линию, она обрезается по ней. Сжатый бетон в Abt никогда не включается.</t>
  </si>
  <si>
    <t>Геометрия произвольного сечения считается по нормали к нейтральной линии. h - габарит бетона по этой нормали; a - расстояние от внешней растянутой поверхности до оси наиболее крайнего растянутого стержня.</t>
  </si>
  <si>
    <t>Внешняя поверхность восстанавливается приближенно: каждый бетонный КЭ считается эквивалентным кругом площади A, r = sqrt(A/pi). Это используется только для s_t, s_c, h и a; усилия НДМ от этого не меняются.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</si>
  <si>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</si>
  <si>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</si>
  <si>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</si>
  <si>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Нормативная связь: СП 63.13330.2018, п. 8.2.17, формула (8.136) и ограничения 10ds...40ds, 100...400 mm. Обобщение на произвольное сечение, косой изгиб и дискретные КЭ является принятой реализацией требования, а не отдельной дословной формулой СП.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</si>
  <si>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</si>
  <si>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результатов. Обычно это сочетание с наибольшим использованием или наименьшим запасом.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</si>
  <si>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</si>
  <si>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несуществующий LC, export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</si>
  <si>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</si>
  <si>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</si>
  <si>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</si>
  <si>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</si>
  <si>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solver заново.</t>
  </si>
  <si>
    <t>AutoCAD.Export.PrincipalAxesEnabled - Выгружать главные центральные оси приведенного сечения в AutoCAD: Yes - выводить; No - не выводить.</t>
  </si>
  <si>
    <t>AutoCAD.Export.LoadPointEnabled - Выгружать точку приложения нагрузки в AutoCAD: Yes - выводить; No - не выводить.</t>
  </si>
  <si>
    <t>AutoCAD.Export.ResultType - Что выводить цветом и подписями в AutoCAD: Stress - напряжения; Strain - деформации. Используются данные последнего расчета.</t>
  </si>
  <si>
    <t>Stress означает, что цвет и подписи берутся по напряжениям. Strain означает, что вместо напряжений используются деформации.</t>
  </si>
  <si>
    <t>Данные берутся из последнего Results, уже в сохраненных OUTPUT единицах и знаках.</t>
  </si>
  <si>
    <t>Настройка не пересчитывает сечение и не меняет Results.</t>
  </si>
  <si>
    <t>AutoCAD.Export.LabelMode - Формат текстовых подписей при выгрузке в AutoCAD: ValuesOnly - только значение выбранного ResultType; NamesAndValues - имя элемента и значение. При NamesAndValues имена выводятся для бетона и арматуры.</t>
  </si>
  <si>
    <t>ValuesOnly выводит только численное значение выбранного ResultType.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</si>
  <si>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</si>
  <si>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</si>
  <si>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знаку напряжения: растяжение, сжатие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</si>
  <si>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</si>
  <si>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</si>
  <si>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знаку напряжения: растяжение, сжатие или нейтральное состояние.</t>
  </si>
  <si>
    <t>AutoCAD.Layer.ConcreteTension - Слой для подписей положительных напряжений бетона, то есть растянутых бетонных волокон.</t>
  </si>
  <si>
    <t>AutoCAD.Layer.ConcreteCompression - Слой для подписей отрицательных, нулевых и почти нулевых напряжений бетона.</t>
  </si>
  <si>
    <t>AutoCAD.Layer.RebarTension - Слой для подписей положительных напряжений арматуры, то есть растянутых стержней.</t>
  </si>
  <si>
    <t>AutoCAD.Layer.RebarCompression - Слой для подписей отрицательных, нулевых и почти нулевых напряжений арматуры.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</si>
  <si>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</si>
  <si>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</si>
  <si>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</si>
  <si>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</si>
  <si>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</si>
  <si>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</si>
  <si>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</si>
  <si>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</si>
  <si>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</si>
  <si>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</si>
  <si>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бетонный расчетный элемент CSectionModel.</t>
  </si>
  <si>
    <t>AutoCAD.Import.RebarLayer - Слой областей арматуры для импорта. Импортируются только AutoCAD Region на этом слое; профиль арматуры берется из Steel.RebarProfile, разные материалы арматуры в одном сечении не поддерживаются.</t>
  </si>
  <si>
    <t>Импортер берет арматурные Region только с этого слоя.</t>
  </si>
  <si>
    <t>Каждый найденный Region превращается в стержневой расчетный элемент. Диаграмма арматуры берется из rngSteelDiagramPoints, а профиль для расчета трещин - из Steel.RebarProfile.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</si>
  <si>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</si>
  <si>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</si>
  <si>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</si>
  <si>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</si>
  <si>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</si>
  <si>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</si>
  <si>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</si>
  <si>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</si>
  <si>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</si>
  <si>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</si>
  <si>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</si>
  <si>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solver.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</si>
  <si>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</si>
  <si>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batch summary.</t>
  </si>
  <si>
    <t>Конкретный CombinationID, например LC2, показывает сохраненные Stress/Strain/Epsilon0/KappaX/KappaY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</si>
  <si>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</si>
  <si>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Plot.ResultType - Что показывать цветом и численными подписями: Stress - напряжения; Strain - деформации. Используются сохраненные Results, а не текущие единицы Config.</t>
  </si>
  <si>
    <t>Stress окрашивает элементы и подписи по напряжениям. Strain делает то же самое по деформациям.</t>
  </si>
  <si>
    <t>Легенда и численные подписи используют единицы, сохраненные в Results на момент последнего расчета.</t>
  </si>
  <si>
    <t>Физический цвет сжатия/растяжения берется из PhysicalState, а не угадывается по пользовательскому знаку числа.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</si>
  <si>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</si>
  <si>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выбранному Plot.ResultType.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</si>
  <si>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</si>
  <si>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</si>
  <si>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выбранного ResultType для бетонных элементов.</t>
  </si>
  <si>
    <t>Yes добавляет на схему численные подписи выбранного Plot.ResultType.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</si>
  <si>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</si>
  <si>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</si>
  <si>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</si>
  <si>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</si>
  <si>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</si>
  <si>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</si>
  <si>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</si>
  <si>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</si>
  <si>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</si>
  <si>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</si>
  <si>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</si>
  <si>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</si>
  <si>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Plot.PrincipalAxesEnabled - Показывать главные центральные оси приведенного сечения.</t>
  </si>
  <si>
    <t>Plot.LoadApplicationPointEnabled - Показывать точку приложения нагрузки из последнего расчета.</t>
  </si>
  <si>
    <t>Plot.CentroidEnabled - Показывать центр тяжести приведенного сечения.</t>
  </si>
  <si>
    <t>Plot.LegendEnabled - Показывать легенду физического состояния и выбранного ResultType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</si>
  <si>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</si>
  <si>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</si>
  <si>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</si>
  <si>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</si>
  <si>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</si>
  <si>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</si>
  <si>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</si>
  <si>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</si>
  <si>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</si>
  <si>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</si>
  <si>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</si>
  <si>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Circle.Diameter - Диаметр круглого сечения.</t>
  </si>
  <si>
    <t>Это наружный диаметр бетонной окружности. По нему генератор определяет границу бетона и строит квадратную сетку Mesh.Step.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</si>
  <si>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приведенного сечения.</t>
  </si>
  <si>
    <t>Для схемы создается semantic-аннотация диаметра D. Повторять размер круга с нескольких сторон не требуется.</t>
  </si>
  <si>
    <t>Rebar.AxisDistance - Расстояние от грани круга до оси стержней as.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</si>
  <si>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</si>
  <si>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</si>
  <si>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</si>
  <si>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продольных стержней по окружности.</t>
  </si>
  <si>
    <t>Это количество стержней первого ряда, равномерно расставленных по окружности.</t>
  </si>
  <si>
    <t>Если Rebar.Count =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</si>
  <si>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</si>
  <si>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продольных стержней первого ряда.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</si>
  <si>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</si>
  <si>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</si>
  <si>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</si>
  <si>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стержней второго ряда. Второй ряд строится от стержней первого ряда.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</si>
  <si>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</si>
  <si>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</si>
  <si>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</si>
  <si>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стержней третьего ряда. Третий ряд строится от первого ряда; при совпадении Rebar.Loc3row с Rebar.Loc2row и наличии второго ряда перескакивает второй ряд.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</si>
  <si>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</si>
  <si>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</si>
  <si>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</si>
  <si>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Расположение второго ряда: Stacked - внутрь сечения по радиусу к центру; SideBySide - справа по часовой касательной.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</si>
  <si>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</si>
  <si>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</si>
  <si>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</si>
  <si>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</si>
  <si>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Расположение третьего ряда: Stacked - внутрь сечения по радиусу к центру; SideBySide - справа по часовой касательной.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</si>
  <si>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</si>
  <si>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</si>
  <si>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</si>
  <si>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Ширина прямоугольного сечения со скруглениями.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</si>
  <si>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</si>
  <si>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</si>
  <si>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</si>
  <si>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квадратными элементами Mesh.Step с уточнением границы через Mesh.BoundarySubdivisions.</t>
  </si>
  <si>
    <t>Нормативный статус: форма и радиусы являются геометрическими исходными данными пользователя; программа не выполняет отдельную проверку конструктивных требований СП.</t>
  </si>
  <si>
    <t>RoundedRectangle.Height - Высота прямоугольного сечения со скруглениями.</t>
  </si>
  <si>
    <t>RoundedRectangle.RadiusTopLeft - Радиус верхнего левого угла.</t>
  </si>
  <si>
    <t>RoundedRectangle.RadiusTopRight - Радиус верхнего правого угла.</t>
  </si>
  <si>
    <t>RoundedRectangle.RadiusBottomRight - Радиус нижнего правого угла.</t>
  </si>
  <si>
    <t>RoundedRectangle.RadiusBottomLeft - Радиус нижнего левого угла.</t>
  </si>
  <si>
    <t>Подробнее</t>
  </si>
  <si>
    <r>
      <t>Точки диаграммы бетона</t>
    </r>
    <r>
      <rPr>
        <u/>
        <sz val="9"/>
        <color theme="10"/>
        <rFont val="Arial"/>
        <family val="2"/>
        <charset val="204"/>
      </rPr>
      <t xml:space="preserve"> (</t>
    </r>
    <r>
      <rPr>
        <u/>
        <sz val="9"/>
        <color rgb="FF0000FF"/>
        <rFont val="Arial"/>
        <family val="2"/>
        <charset val="204"/>
      </rPr>
      <t>Подробнее</t>
    </r>
    <r>
      <rPr>
        <u/>
        <sz val="9"/>
        <color theme="10"/>
        <rFont val="Arial"/>
        <family val="2"/>
        <charset val="204"/>
      </rPr>
      <t>)</t>
    </r>
  </si>
  <si>
    <r>
      <t>Точки диаграммы арматуры</t>
    </r>
    <r>
      <rPr>
        <u/>
        <sz val="9"/>
        <color theme="10"/>
        <rFont val="Arial"/>
        <family val="2"/>
        <charset val="204"/>
      </rPr>
      <t xml:space="preserve"> (</t>
    </r>
    <r>
      <rPr>
        <u/>
        <sz val="9"/>
        <color rgb="FF0000FF"/>
        <rFont val="Arial"/>
        <family val="2"/>
        <charset val="204"/>
      </rPr>
      <t>Подробнее</t>
    </r>
    <r>
      <rPr>
        <u/>
        <sz val="9"/>
        <color theme="10"/>
        <rFont val="Arial"/>
        <family val="2"/>
        <charset val="204"/>
      </rPr>
      <t>)</t>
    </r>
  </si>
  <si>
    <r>
      <t>Units</t>
    </r>
    <r>
      <rPr>
        <u/>
        <sz val="9"/>
        <color theme="10"/>
        <rFont val="Arial"/>
        <family val="2"/>
        <charset val="204"/>
      </rPr>
      <t xml:space="preserve"> (</t>
    </r>
    <r>
      <rPr>
        <u/>
        <sz val="9"/>
        <color rgb="FF0000FF"/>
        <rFont val="Arial"/>
        <family val="2"/>
        <charset val="204"/>
      </rPr>
      <t>Подробнее</t>
    </r>
    <r>
      <rPr>
        <u/>
        <sz val="9"/>
        <color theme="10"/>
        <rFont val="Arial"/>
        <family val="2"/>
        <charset val="204"/>
      </rPr>
      <t>)</t>
    </r>
  </si>
  <si>
    <r>
      <t>Sign convention</t>
    </r>
    <r>
      <rPr>
        <u/>
        <sz val="9"/>
        <color theme="10"/>
        <rFont val="Arial"/>
        <family val="2"/>
        <charset val="204"/>
      </rPr>
      <t xml:space="preserve"> (</t>
    </r>
    <r>
      <rPr>
        <u/>
        <sz val="9"/>
        <color rgb="FF0000FF"/>
        <rFont val="Arial"/>
        <family val="2"/>
        <charset val="204"/>
      </rPr>
      <t>Подробнее</t>
    </r>
    <r>
      <rPr>
        <u/>
        <sz val="9"/>
        <color theme="10"/>
        <rFont val="Arial"/>
        <family val="2"/>
        <charset val="204"/>
      </rPr>
      <t>)</t>
    </r>
  </si>
  <si>
    <r>
      <t>ГЕОМЕТРИЯ</t>
    </r>
    <r>
      <rPr>
        <u/>
        <sz val="9"/>
        <color theme="10"/>
        <rFont val="Arial"/>
        <family val="2"/>
        <charset val="204"/>
      </rPr>
      <t xml:space="preserve"> (</t>
    </r>
    <r>
      <rPr>
        <u/>
        <sz val="9"/>
        <color rgb="FF0000FF"/>
        <rFont val="Arial"/>
        <family val="2"/>
        <charset val="204"/>
      </rPr>
      <t>Подробнее</t>
    </r>
    <r>
      <rPr>
        <u/>
        <sz val="9"/>
        <color theme="10"/>
        <rFont val="Arial"/>
        <family val="2"/>
        <charset val="204"/>
      </rPr>
      <t>)</t>
    </r>
  </si>
  <si>
    <r>
      <t>[Аннотации схемы]</t>
    </r>
    <r>
      <rPr>
        <u/>
        <sz val="9"/>
        <color theme="10"/>
        <rFont val="Arial"/>
        <family val="2"/>
        <charset val="204"/>
      </rPr>
      <t xml:space="preserve"> (</t>
    </r>
    <r>
      <rPr>
        <u/>
        <sz val="9"/>
        <color rgb="FF0000FF"/>
        <rFont val="Arial"/>
        <family val="2"/>
        <charset val="204"/>
      </rPr>
      <t>Подробнее</t>
    </r>
    <r>
      <rPr>
        <u/>
        <sz val="9"/>
        <color theme="10"/>
        <rFont val="Arial"/>
        <family val="2"/>
        <charset val="204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</si>
</sst>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9"/>
      <color rgb="FFFFFFFF"/>
      <name val="Arial"/>
      <family val="2"/>
      <charset val="204"/>
    </font>
    <font>
      <sz val="9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1"/>
      <color rgb="FF333333"/>
      <name val="Cambria Math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16265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31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2" fillId="3" borderId="0" xfId="0" applyFont="1" applyFill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4" borderId="2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4" fillId="0" borderId="0" xfId="0" applyFont="1"/>
    <xf numFmtId="0" fontId="4" fillId="5" borderId="0" xfId="0" applyFont="1" applyFill="1"/>
    <xf numFmtId="0" fontId="3" fillId="0" borderId="0" xfId="0" applyFont="1"/>
    <xf numFmtId="0" fontId="4" fillId="4" borderId="0" xfId="0" applyFont="1" applyFill="1"/>
    <xf numFmtId="0" fontId="4" fillId="5" borderId="0" xfId="0" applyFont="1" applyFill="1"/>
    <xf numFmtId="0" fontId="3" fillId="5" borderId="0" xfId="0" applyFont="1" applyFill="1"/>
    <xf numFmtId="49" fontId="3" fillId="0" borderId="0" xfId="0" applyNumberFormat="1" applyFont="1"/>
    <xf numFmtId="0" fontId="6" fillId="0" borderId="0" xfId="0" applyFont="1"/>
    <xf numFmtId="0" fontId="6" fillId="0" borderId="0" xfId="0" applyFont="1" applyAlignment="1">
      <alignment wrapText="1"/>
    </xf>
    <xf numFmtId="0" fontId="5" fillId="0" borderId="3" xfId="0" applyFont="1" applyBorder="1" applyAlignment="1">
      <alignment vertical="top" wrapText="1"/>
    </xf>
    <xf numFmtId="0" fontId="6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7" fillId="5" borderId="3" xfId="0" applyFont="1" applyFill="1" applyBorder="1" applyAlignment="1">
      <alignment vertical="top" wrapText="1"/>
    </xf>
    <xf numFmtId="0" fontId="6" fillId="5" borderId="3" xfId="0" applyFont="1" applyFill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8" fillId="6" borderId="3" xfId="0" applyFont="1" applyFill="1" applyBorder="1" applyAlignment="1">
      <alignment horizontal="left" vertical="top" wrapText="1"/>
    </xf>
    <xf numFmtId="0" fontId="9" fillId="0" borderId="0" xfId="1"/>
    <xf numFmtId="0" fontId="10" fillId="5" borderId="0" xfId="1" applyFont="1" applyFill="1"/>
    <xf numFmtId="0" fontId="11" fillId="0" borderId="0" xfId="1" applyFont="1"/>
    <xf numFmtId="0" fontId="10" fillId="5" borderId="0" xfId="1" applyFont="1" applyFill="1" applyAlignme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40</xdr:col>
      <xdr:colOff>76200</xdr:colOff>
      <xdr:row>5</xdr:row>
      <xdr:rowOff>12700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7BF50CA-9D89-4DDA-ACE7-407192A623AF}"/>
            </a:ext>
          </a:extLst>
        </xdr:cNvPr>
        <xdr:cNvSpPr/>
      </xdr:nvSpPr>
      <xdr:spPr>
        <a:xfrm>
          <a:off x="11239500" y="781050"/>
          <a:ext cx="1905000" cy="3556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114300</xdr:rowOff>
    </xdr:from>
    <xdr:to>
      <xdr:col>40</xdr:col>
      <xdr:colOff>76200</xdr:colOff>
      <xdr:row>7</xdr:row>
      <xdr:rowOff>127000</xdr:rowOff>
    </xdr:to>
    <xdr:sp macro="ClearSectionResults" textlink="">
      <xdr:nvSpPr>
        <xdr:cNvPr id="3" name="btnClearSectionResults">
          <a:extLst>
            <a:ext uri="{FF2B5EF4-FFF2-40B4-BE49-F238E27FC236}">
              <a16:creationId xmlns:a16="http://schemas.microsoft.com/office/drawing/2014/main" id="{446C609C-6E62-4DBB-A5F3-DF9E073EB795}"/>
            </a:ext>
          </a:extLst>
        </xdr:cNvPr>
        <xdr:cNvSpPr/>
      </xdr:nvSpPr>
      <xdr:spPr>
        <a:xfrm>
          <a:off x="11239500" y="1238250"/>
          <a:ext cx="1905000" cy="3556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Очистить результаты</a:t>
          </a:r>
        </a:p>
      </xdr:txBody>
    </xdr:sp>
    <xdr:clientData/>
  </xdr:twoCellAnchor>
  <xdr:twoCellAnchor>
    <xdr:from>
      <xdr:col>37</xdr:col>
      <xdr:colOff>0</xdr:colOff>
      <xdr:row>8</xdr:row>
      <xdr:rowOff>57150</xdr:rowOff>
    </xdr:from>
    <xdr:to>
      <xdr:col>40</xdr:col>
      <xdr:colOff>76200</xdr:colOff>
      <xdr:row>10</xdr:row>
      <xdr:rowOff>69850</xdr:rowOff>
    </xdr:to>
    <xdr:sp macro="ExportSectionStressToAutoCAD" textlink="">
      <xdr:nvSpPr>
        <xdr:cNvPr id="4" name="btnExportStressToAutoCAD">
          <a:extLst>
            <a:ext uri="{FF2B5EF4-FFF2-40B4-BE49-F238E27FC236}">
              <a16:creationId xmlns:a16="http://schemas.microsoft.com/office/drawing/2014/main" id="{3957246A-F30A-4F7F-8C07-70DDC4FB7B1B}"/>
            </a:ext>
          </a:extLst>
        </xdr:cNvPr>
        <xdr:cNvSpPr/>
      </xdr:nvSpPr>
      <xdr:spPr>
        <a:xfrm>
          <a:off x="11239500" y="1695450"/>
          <a:ext cx="1905000" cy="3556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Экспорт в </a:t>
          </a:r>
          <a:r>
            <a:rPr lang="en-US" sz="1100" b="1">
              <a:solidFill>
                <a:srgbClr val="FFFFFF"/>
              </a:solidFill>
            </a:rPr>
            <a:t>AutoCAD</a:t>
          </a:r>
          <a:endParaRPr lang="ru-RU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0</xdr:rowOff>
    </xdr:from>
    <xdr:to>
      <xdr:col>40</xdr:col>
      <xdr:colOff>76200</xdr:colOff>
      <xdr:row>13</xdr:row>
      <xdr:rowOff>12700</xdr:rowOff>
    </xdr:to>
    <xdr:sp macro="UpdateSectionPlot" textlink="">
      <xdr:nvSpPr>
        <xdr:cNvPr id="5" name="btnUpdateSectionPlot">
          <a:extLst>
            <a:ext uri="{FF2B5EF4-FFF2-40B4-BE49-F238E27FC236}">
              <a16:creationId xmlns:a16="http://schemas.microsoft.com/office/drawing/2014/main" id="{A3805B4C-90ED-4395-8520-0A493417E97A}"/>
            </a:ext>
          </a:extLst>
        </xdr:cNvPr>
        <xdr:cNvSpPr/>
      </xdr:nvSpPr>
      <xdr:spPr>
        <a:xfrm>
          <a:off x="11239500" y="2152650"/>
          <a:ext cx="1905000" cy="3556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6B328-C17C-4ADE-BDC1-07184043CA52}">
  <sheetPr codeName="Лист1"/>
  <dimension ref="A1:DK260"/>
  <sheetViews>
    <sheetView tabSelected="1" workbookViewId="0"/>
  </sheetViews>
  <sheetFormatPr defaultRowHeight="15" x14ac:dyDescent="0.25"/>
  <cols>
    <col min="1" max="1" width="32.7109375" customWidth="1"/>
    <col min="2" max="2" width="18.7109375" customWidth="1"/>
    <col min="3" max="3" width="22.7109375" customWidth="1"/>
    <col min="4" max="4" width="14.7109375" customWidth="1"/>
    <col min="5" max="5" width="48.7109375" customWidth="1"/>
    <col min="6" max="6" width="34.7109375" customWidth="1"/>
    <col min="7" max="7" width="22.7109375" customWidth="1"/>
    <col min="14" max="14" width="14.7109375" customWidth="1"/>
    <col min="15" max="16" width="16.7109375" customWidth="1"/>
    <col min="17" max="17" width="34.7109375" customWidth="1"/>
    <col min="18" max="19" width="18.7109375" customWidth="1"/>
    <col min="20" max="20" width="26.7109375" customWidth="1"/>
    <col min="21" max="21" width="14.7109375" customWidth="1"/>
    <col min="70" max="115" width="0" hidden="1" customWidth="1"/>
  </cols>
  <sheetData>
    <row r="1" spans="1:115" x14ac:dyDescent="0.25">
      <c r="A1" s="11" t="s">
        <v>24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 t="s">
        <v>327</v>
      </c>
      <c r="BJ1" s="3"/>
      <c r="BK1" s="3"/>
      <c r="BL1" s="3"/>
      <c r="BM1" s="3"/>
      <c r="BN1" s="3"/>
      <c r="BO1" s="3"/>
      <c r="BP1" s="3"/>
      <c r="BQ1" s="3"/>
      <c r="BR1" s="3" t="s">
        <v>245</v>
      </c>
      <c r="BS1" s="3" t="s">
        <v>247</v>
      </c>
      <c r="BT1" s="3" t="s">
        <v>2</v>
      </c>
      <c r="BU1" s="3" t="s">
        <v>252</v>
      </c>
      <c r="BV1" s="3" t="s">
        <v>262</v>
      </c>
      <c r="BW1" s="3" t="s">
        <v>255</v>
      </c>
      <c r="BX1" s="3" t="s">
        <v>270</v>
      </c>
      <c r="BY1" s="3" t="s">
        <v>272</v>
      </c>
      <c r="BZ1" s="3" t="s">
        <v>274</v>
      </c>
      <c r="CA1" s="3"/>
      <c r="CB1" s="3" t="s">
        <v>33</v>
      </c>
      <c r="CC1" s="3" t="s">
        <v>93</v>
      </c>
      <c r="CD1" s="3" t="s">
        <v>389</v>
      </c>
      <c r="CE1" s="3" t="s">
        <v>60</v>
      </c>
      <c r="CF1" s="3" t="s">
        <v>68</v>
      </c>
      <c r="CG1" s="3" t="s">
        <v>393</v>
      </c>
      <c r="CH1" s="3" t="s">
        <v>80</v>
      </c>
      <c r="CI1" s="3" t="s">
        <v>395</v>
      </c>
      <c r="CJ1" s="3" t="s">
        <v>115</v>
      </c>
      <c r="CK1" s="3" t="s">
        <v>93</v>
      </c>
      <c r="CL1" s="3" t="s">
        <v>93</v>
      </c>
      <c r="CM1" s="3" t="s">
        <v>137</v>
      </c>
      <c r="CN1" s="3" t="s">
        <v>140</v>
      </c>
      <c r="CO1" s="3" t="s">
        <v>153</v>
      </c>
      <c r="CP1" s="3" t="s">
        <v>399</v>
      </c>
      <c r="CQ1" s="3" t="s">
        <v>93</v>
      </c>
      <c r="CR1" s="3" t="s">
        <v>93</v>
      </c>
      <c r="CS1" s="3" t="s">
        <v>93</v>
      </c>
      <c r="CT1" s="3" t="s">
        <v>93</v>
      </c>
      <c r="CU1" s="3" t="s">
        <v>93</v>
      </c>
      <c r="CV1" s="3" t="s">
        <v>153</v>
      </c>
      <c r="CW1" s="3" t="s">
        <v>93</v>
      </c>
      <c r="CX1" s="3" t="s">
        <v>93</v>
      </c>
      <c r="CY1" s="3" t="s">
        <v>93</v>
      </c>
      <c r="CZ1" s="3" t="s">
        <v>93</v>
      </c>
      <c r="DA1" s="3" t="s">
        <v>93</v>
      </c>
      <c r="DB1" s="3" t="s">
        <v>93</v>
      </c>
      <c r="DC1" s="3" t="s">
        <v>93</v>
      </c>
      <c r="DD1" s="3" t="s">
        <v>221</v>
      </c>
      <c r="DE1" s="3" t="s">
        <v>144</v>
      </c>
      <c r="DF1" s="3" t="s">
        <v>93</v>
      </c>
      <c r="DG1" s="3" t="s">
        <v>283</v>
      </c>
      <c r="DH1" s="3" t="s">
        <v>300</v>
      </c>
      <c r="DI1" s="3" t="s">
        <v>402</v>
      </c>
      <c r="DJ1" s="3" t="s">
        <v>327</v>
      </c>
      <c r="DK1" s="3" t="s">
        <v>378</v>
      </c>
    </row>
    <row r="2" spans="1:115" x14ac:dyDescent="0.25">
      <c r="A2" s="3"/>
      <c r="B2" s="3"/>
      <c r="C2" s="3"/>
      <c r="D2" s="3"/>
      <c r="E2" s="3"/>
      <c r="F2" s="28" t="s">
        <v>808</v>
      </c>
      <c r="G2" s="13"/>
      <c r="H2" s="13"/>
      <c r="I2" s="3"/>
      <c r="J2" s="28" t="s">
        <v>809</v>
      </c>
      <c r="K2" s="13"/>
      <c r="L2" s="13"/>
      <c r="M2" s="3"/>
      <c r="N2" s="28" t="s">
        <v>810</v>
      </c>
      <c r="O2" s="13"/>
      <c r="P2" s="13"/>
      <c r="Q2" s="13"/>
      <c r="R2" s="29" t="s">
        <v>807</v>
      </c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 t="s">
        <v>331</v>
      </c>
      <c r="BJ2" s="3"/>
      <c r="BK2" s="3"/>
      <c r="BL2" s="3"/>
      <c r="BM2" s="3"/>
      <c r="BN2" s="3"/>
      <c r="BO2" s="3"/>
      <c r="BP2" s="3"/>
      <c r="BQ2" s="3"/>
      <c r="BR2" s="3" t="s">
        <v>256</v>
      </c>
      <c r="BS2" s="3" t="s">
        <v>258</v>
      </c>
      <c r="BT2" s="3" t="s">
        <v>260</v>
      </c>
      <c r="BU2" s="3" t="s">
        <v>261</v>
      </c>
      <c r="BV2" s="3" t="s">
        <v>263</v>
      </c>
      <c r="BW2" s="3" t="s">
        <v>266</v>
      </c>
      <c r="BX2" s="3" t="s">
        <v>269</v>
      </c>
      <c r="BY2" s="3" t="s">
        <v>275</v>
      </c>
      <c r="BZ2" s="3" t="s">
        <v>276</v>
      </c>
      <c r="CA2" s="3"/>
      <c r="CB2" s="3" t="s">
        <v>388</v>
      </c>
      <c r="CC2" s="3" t="s">
        <v>29</v>
      </c>
      <c r="CD2" s="3" t="s">
        <v>390</v>
      </c>
      <c r="CE2" s="3" t="s">
        <v>391</v>
      </c>
      <c r="CF2" s="3" t="s">
        <v>392</v>
      </c>
      <c r="CG2" s="3" t="s">
        <v>109</v>
      </c>
      <c r="CH2" s="3" t="s">
        <v>394</v>
      </c>
      <c r="CI2" s="3" t="s">
        <v>112</v>
      </c>
      <c r="CJ2" s="3" t="s">
        <v>396</v>
      </c>
      <c r="CK2" s="3" t="s">
        <v>29</v>
      </c>
      <c r="CL2" s="3" t="s">
        <v>29</v>
      </c>
      <c r="CM2" s="3" t="s">
        <v>397</v>
      </c>
      <c r="CN2" s="3" t="s">
        <v>398</v>
      </c>
      <c r="CO2" s="3" t="s">
        <v>238</v>
      </c>
      <c r="CP2" s="3" t="s">
        <v>156</v>
      </c>
      <c r="CQ2" s="3" t="s">
        <v>29</v>
      </c>
      <c r="CR2" s="3" t="s">
        <v>29</v>
      </c>
      <c r="CS2" s="3" t="s">
        <v>29</v>
      </c>
      <c r="CT2" s="3" t="s">
        <v>29</v>
      </c>
      <c r="CU2" s="3" t="s">
        <v>29</v>
      </c>
      <c r="CV2" s="3" t="s">
        <v>238</v>
      </c>
      <c r="CW2" s="3" t="s">
        <v>29</v>
      </c>
      <c r="CX2" s="3" t="s">
        <v>29</v>
      </c>
      <c r="CY2" s="3" t="s">
        <v>29</v>
      </c>
      <c r="CZ2" s="3" t="s">
        <v>29</v>
      </c>
      <c r="DA2" s="3" t="s">
        <v>29</v>
      </c>
      <c r="DB2" s="3" t="s">
        <v>29</v>
      </c>
      <c r="DC2" s="3" t="s">
        <v>29</v>
      </c>
      <c r="DD2" s="3" t="s">
        <v>400</v>
      </c>
      <c r="DE2" s="3" t="str">
        <f>IF(INDEX(rngLoadCombinations,2,1)="","",INDEX(rngLoadCombinations,2,1))</f>
        <v/>
      </c>
      <c r="DF2" s="3" t="s">
        <v>29</v>
      </c>
      <c r="DG2" s="3" t="s">
        <v>401</v>
      </c>
      <c r="DH2" s="3" t="s">
        <v>404</v>
      </c>
      <c r="DI2" s="3" t="s">
        <v>303</v>
      </c>
      <c r="DJ2" s="3" t="s">
        <v>331</v>
      </c>
      <c r="DK2" s="3" t="s">
        <v>387</v>
      </c>
    </row>
    <row r="3" spans="1:115" x14ac:dyDescent="0.25">
      <c r="A3" s="14" t="s">
        <v>25</v>
      </c>
      <c r="B3" s="14" t="s">
        <v>20</v>
      </c>
      <c r="C3" s="14" t="s">
        <v>21</v>
      </c>
      <c r="D3" s="14" t="s">
        <v>22</v>
      </c>
      <c r="E3" s="14" t="s">
        <v>26</v>
      </c>
      <c r="F3" s="14" t="s">
        <v>237</v>
      </c>
      <c r="G3" s="14" t="s">
        <v>238</v>
      </c>
      <c r="H3" s="14" t="str">
        <f>"Stress, "&amp;INDEX(rngUnitSettings,MATCH("Stress",INDEX(rngUnitSettings,,1),0),2)</f>
        <v>Stress, MPa</v>
      </c>
      <c r="I3" s="3"/>
      <c r="J3" s="14" t="s">
        <v>237</v>
      </c>
      <c r="K3" s="14" t="s">
        <v>238</v>
      </c>
      <c r="L3" s="14" t="str">
        <f>"Stress, "&amp;INDEX(rngUnitSettings,MATCH("Stress",INDEX(rngUnitSettings,,1),0),2)</f>
        <v>Stress, MPa</v>
      </c>
      <c r="M3" s="3"/>
      <c r="N3" s="14" t="s">
        <v>240</v>
      </c>
      <c r="O3" s="14" t="s">
        <v>241</v>
      </c>
      <c r="P3" s="14" t="s">
        <v>242</v>
      </c>
      <c r="Q3" s="14" t="s">
        <v>243</v>
      </c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 t="s">
        <v>257</v>
      </c>
      <c r="BS3" s="3" t="s">
        <v>259</v>
      </c>
      <c r="BT3" s="3" t="s">
        <v>249</v>
      </c>
      <c r="BU3" s="3" t="s">
        <v>251</v>
      </c>
      <c r="BV3" s="3" t="s">
        <v>253</v>
      </c>
      <c r="BW3" s="3"/>
      <c r="BX3" s="3"/>
      <c r="BY3" s="3"/>
      <c r="BZ3" s="3"/>
      <c r="CA3" s="3"/>
      <c r="CB3" s="3"/>
      <c r="CC3" s="3"/>
      <c r="CD3" s="3" t="s">
        <v>36</v>
      </c>
      <c r="CE3" s="3"/>
      <c r="CF3" s="3"/>
      <c r="CG3" s="3"/>
      <c r="CH3" s="3"/>
      <c r="CI3" s="3"/>
      <c r="CJ3" s="3" t="s">
        <v>394</v>
      </c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 t="str">
        <f>IF(INDEX(rngLoadCombinations,3,1)="","",INDEX(rngLoadCombinations,3,1))</f>
        <v/>
      </c>
      <c r="DF3" s="3"/>
      <c r="DG3" s="3"/>
      <c r="DH3" s="3" t="s">
        <v>405</v>
      </c>
      <c r="DI3" s="3" t="s">
        <v>403</v>
      </c>
      <c r="DJ3" s="3"/>
      <c r="DK3" s="3"/>
    </row>
    <row r="4" spans="1:115" x14ac:dyDescent="0.25">
      <c r="A4" s="15" t="s">
        <v>27</v>
      </c>
      <c r="B4" s="15"/>
      <c r="C4" s="15"/>
      <c r="D4" s="15"/>
      <c r="E4" s="15"/>
      <c r="F4" s="3">
        <v>1</v>
      </c>
      <c r="G4" s="3">
        <v>1E-4</v>
      </c>
      <c r="H4" s="3">
        <v>1.8</v>
      </c>
      <c r="I4" s="3"/>
      <c r="J4" s="3">
        <v>1</v>
      </c>
      <c r="K4" s="3">
        <v>-2.5000000000000001E-2</v>
      </c>
      <c r="L4" s="3">
        <v>-350</v>
      </c>
      <c r="M4" s="3"/>
      <c r="N4" s="3" t="s">
        <v>244</v>
      </c>
      <c r="O4" s="3" t="s">
        <v>245</v>
      </c>
      <c r="P4" s="16" t="s">
        <v>245</v>
      </c>
      <c r="Q4" s="3" t="s">
        <v>245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 t="s">
        <v>264</v>
      </c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 t="str">
        <f>IF(INDEX(rngLoadCombinations,4,1)="","",INDEX(rngLoadCombinations,4,1))</f>
        <v/>
      </c>
      <c r="DF4" s="3"/>
      <c r="DG4" s="3"/>
      <c r="DH4" s="3" t="s">
        <v>406</v>
      </c>
      <c r="DI4" s="3"/>
      <c r="DJ4" s="3"/>
      <c r="DK4" s="3"/>
    </row>
    <row r="5" spans="1:115" x14ac:dyDescent="0.25">
      <c r="A5" s="3" t="s">
        <v>28</v>
      </c>
      <c r="B5" s="3" t="s">
        <v>29</v>
      </c>
      <c r="C5" s="3"/>
      <c r="D5" s="3" t="s">
        <v>30</v>
      </c>
      <c r="E5" s="29" t="s">
        <v>807</v>
      </c>
      <c r="F5" s="3">
        <v>2</v>
      </c>
      <c r="G5" s="3">
        <v>0</v>
      </c>
      <c r="H5" s="3">
        <v>0</v>
      </c>
      <c r="I5" s="3"/>
      <c r="J5" s="3">
        <v>2</v>
      </c>
      <c r="K5" s="3">
        <v>-0.01</v>
      </c>
      <c r="L5" s="3">
        <v>-350</v>
      </c>
      <c r="M5" s="3"/>
      <c r="N5" s="3" t="s">
        <v>246</v>
      </c>
      <c r="O5" s="3" t="s">
        <v>247</v>
      </c>
      <c r="P5" s="16" t="s">
        <v>247</v>
      </c>
      <c r="Q5" s="3" t="s">
        <v>247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 t="s">
        <v>265</v>
      </c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 t="str">
        <f>IF(INDEX(rngLoadCombinations,5,1)="","",INDEX(rngLoadCombinations,5,1))</f>
        <v/>
      </c>
      <c r="DF5" s="3"/>
      <c r="DG5" s="3"/>
      <c r="DH5" s="3" t="s">
        <v>407</v>
      </c>
      <c r="DI5" s="3"/>
      <c r="DJ5" s="3"/>
      <c r="DK5" s="3"/>
    </row>
    <row r="6" spans="1:115" x14ac:dyDescent="0.25">
      <c r="A6" s="3"/>
      <c r="B6" s="3"/>
      <c r="C6" s="3"/>
      <c r="D6" s="3"/>
      <c r="E6" s="3"/>
      <c r="F6" s="3">
        <v>3</v>
      </c>
      <c r="G6" s="3">
        <v>-1.5E-3</v>
      </c>
      <c r="H6" s="3">
        <v>-15.5</v>
      </c>
      <c r="I6" s="3"/>
      <c r="J6" s="3">
        <v>3</v>
      </c>
      <c r="K6" s="3">
        <v>-1.75E-3</v>
      </c>
      <c r="L6" s="3">
        <v>-350</v>
      </c>
      <c r="M6" s="3"/>
      <c r="N6" s="3" t="s">
        <v>248</v>
      </c>
      <c r="O6" s="3" t="s">
        <v>249</v>
      </c>
      <c r="P6" s="16" t="s">
        <v>2</v>
      </c>
      <c r="Q6" s="3" t="s">
        <v>249</v>
      </c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 t="str">
        <f>IF(INDEX(rngLoadCombinations,6,1)="","",INDEX(rngLoadCombinations,6,1))</f>
        <v/>
      </c>
      <c r="DF6" s="3"/>
      <c r="DG6" s="3"/>
      <c r="DH6" s="3"/>
      <c r="DI6" s="3"/>
      <c r="DJ6" s="3"/>
      <c r="DK6" s="3"/>
    </row>
    <row r="7" spans="1:115" x14ac:dyDescent="0.25">
      <c r="A7" s="15" t="s">
        <v>31</v>
      </c>
      <c r="B7" s="15"/>
      <c r="C7" s="15"/>
      <c r="D7" s="15"/>
      <c r="E7" s="15"/>
      <c r="F7" s="3">
        <v>4</v>
      </c>
      <c r="G7" s="3">
        <v>-2E-3</v>
      </c>
      <c r="H7" s="3">
        <v>-15.5</v>
      </c>
      <c r="I7" s="3"/>
      <c r="J7" s="3">
        <v>4</v>
      </c>
      <c r="K7" s="3">
        <v>0</v>
      </c>
      <c r="L7" s="3">
        <v>0</v>
      </c>
      <c r="M7" s="3"/>
      <c r="N7" s="3" t="s">
        <v>250</v>
      </c>
      <c r="O7" s="3" t="s">
        <v>251</v>
      </c>
      <c r="P7" s="16" t="s">
        <v>252</v>
      </c>
      <c r="Q7" s="3" t="s">
        <v>251</v>
      </c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 t="str">
        <f>IF(INDEX(rngLoadCombinations,7,1)="","",INDEX(rngLoadCombinations,7,1))</f>
        <v/>
      </c>
      <c r="DF7" s="3"/>
      <c r="DG7" s="3"/>
      <c r="DH7" s="3"/>
      <c r="DI7" s="3"/>
      <c r="DJ7" s="3"/>
      <c r="DK7" s="3"/>
    </row>
    <row r="8" spans="1:115" x14ac:dyDescent="0.25">
      <c r="A8" s="3" t="s">
        <v>32</v>
      </c>
      <c r="B8" s="3" t="s">
        <v>33</v>
      </c>
      <c r="C8" s="3"/>
      <c r="D8" s="3" t="s">
        <v>34</v>
      </c>
      <c r="E8" s="29" t="s">
        <v>807</v>
      </c>
      <c r="F8" s="3">
        <v>5</v>
      </c>
      <c r="G8" s="3">
        <v>-3.5000000000000001E-3</v>
      </c>
      <c r="H8" s="3">
        <v>-15.5</v>
      </c>
      <c r="I8" s="3"/>
      <c r="J8" s="3">
        <v>5</v>
      </c>
      <c r="K8" s="3">
        <v>1.75E-3</v>
      </c>
      <c r="L8" s="3">
        <v>350</v>
      </c>
      <c r="M8" s="3"/>
      <c r="N8" s="3" t="s">
        <v>153</v>
      </c>
      <c r="O8" s="3" t="s">
        <v>253</v>
      </c>
      <c r="P8" s="16" t="s">
        <v>253</v>
      </c>
      <c r="Q8" s="3" t="s">
        <v>253</v>
      </c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 t="str">
        <f>IF(INDEX(rngLoadCombinations,8,1)="","",INDEX(rngLoadCombinations,8,1))</f>
        <v/>
      </c>
      <c r="DF8" s="3"/>
      <c r="DG8" s="3"/>
      <c r="DH8" s="3"/>
      <c r="DI8" s="3"/>
      <c r="DJ8" s="3"/>
      <c r="DK8" s="3"/>
    </row>
    <row r="9" spans="1:115" x14ac:dyDescent="0.25">
      <c r="A9" s="3" t="s">
        <v>35</v>
      </c>
      <c r="B9" s="3" t="s">
        <v>36</v>
      </c>
      <c r="C9" s="3"/>
      <c r="D9" s="3" t="s">
        <v>37</v>
      </c>
      <c r="E9" s="29" t="s">
        <v>807</v>
      </c>
      <c r="F9" s="3"/>
      <c r="G9" s="3"/>
      <c r="H9" s="3"/>
      <c r="I9" s="3"/>
      <c r="J9" s="3">
        <v>6</v>
      </c>
      <c r="K9" s="3">
        <v>0.01</v>
      </c>
      <c r="L9" s="3">
        <v>350</v>
      </c>
      <c r="M9" s="3"/>
      <c r="N9" s="3" t="s">
        <v>254</v>
      </c>
      <c r="O9" s="3" t="s">
        <v>255</v>
      </c>
      <c r="P9" s="16" t="s">
        <v>255</v>
      </c>
      <c r="Q9" s="3" t="s">
        <v>255</v>
      </c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 t="str">
        <f>IF(INDEX(rngLoadCombinations,9,1)="","",INDEX(rngLoadCombinations,9,1))</f>
        <v/>
      </c>
      <c r="DF9" s="3"/>
      <c r="DG9" s="3"/>
      <c r="DH9" s="3"/>
      <c r="DI9" s="3"/>
      <c r="DJ9" s="3"/>
      <c r="DK9" s="3"/>
    </row>
    <row r="10" spans="1:115" x14ac:dyDescent="0.25">
      <c r="A10" s="3" t="s">
        <v>38</v>
      </c>
      <c r="B10" s="3">
        <v>50</v>
      </c>
      <c r="C10" s="3" t="str">
        <f>INDEX(rngUnitSettings,MATCH("Length",INDEX(rngUnitSettings,,1),0),2)</f>
        <v>mm</v>
      </c>
      <c r="D10" s="3" t="s">
        <v>40</v>
      </c>
      <c r="E10" s="29" t="s">
        <v>807</v>
      </c>
      <c r="F10" s="3"/>
      <c r="G10" s="3"/>
      <c r="H10" s="3"/>
      <c r="I10" s="3"/>
      <c r="J10" s="3">
        <v>7</v>
      </c>
      <c r="K10" s="3">
        <v>2.5000000000000001E-2</v>
      </c>
      <c r="L10" s="3">
        <v>350</v>
      </c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 t="str">
        <f>IF(INDEX(rngLoadCombinations,10,1)="","",INDEX(rngLoadCombinations,10,1))</f>
        <v/>
      </c>
      <c r="DF10" s="3"/>
      <c r="DG10" s="3"/>
      <c r="DH10" s="3"/>
      <c r="DI10" s="3"/>
      <c r="DJ10" s="3"/>
      <c r="DK10" s="3"/>
    </row>
    <row r="11" spans="1:115" x14ac:dyDescent="0.25">
      <c r="A11" s="3" t="s">
        <v>41</v>
      </c>
      <c r="B11" s="3">
        <v>1</v>
      </c>
      <c r="C11" s="3" t="s">
        <v>42</v>
      </c>
      <c r="D11" s="3" t="s">
        <v>43</v>
      </c>
      <c r="E11" s="29" t="s">
        <v>807</v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 t="str">
        <f>IF(INDEX(rngLoadCombinations,11,1)="","",INDEX(rngLoadCombinations,11,1))</f>
        <v/>
      </c>
      <c r="DF11" s="3"/>
      <c r="DG11" s="3"/>
      <c r="DH11" s="3"/>
      <c r="DI11" s="3"/>
      <c r="DJ11" s="3"/>
      <c r="DK11" s="3"/>
    </row>
    <row r="12" spans="1:115" x14ac:dyDescent="0.25">
      <c r="A12" s="3" t="s">
        <v>44</v>
      </c>
      <c r="B12" s="3">
        <v>0</v>
      </c>
      <c r="C12" s="3" t="str">
        <f>INDEX(rngUnitSettings,MATCH("Length",INDEX(rngUnitSettings,,1),0),2)</f>
        <v>mm</v>
      </c>
      <c r="D12" s="3" t="s">
        <v>45</v>
      </c>
      <c r="E12" s="29" t="s">
        <v>807</v>
      </c>
      <c r="F12" s="3"/>
      <c r="G12" s="3"/>
      <c r="H12" s="3"/>
      <c r="I12" s="3"/>
      <c r="J12" s="3"/>
      <c r="K12" s="3"/>
      <c r="L12" s="3"/>
      <c r="M12" s="3"/>
      <c r="N12" s="28" t="s">
        <v>811</v>
      </c>
      <c r="O12" s="13"/>
      <c r="P12" s="1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 t="str">
        <f>IF(INDEX(rngLoadCombinations,12,1)="","",INDEX(rngLoadCombinations,12,1))</f>
        <v/>
      </c>
      <c r="DF12" s="3"/>
      <c r="DG12" s="3"/>
      <c r="DH12" s="3"/>
      <c r="DI12" s="3"/>
      <c r="DJ12" s="3"/>
      <c r="DK12" s="3"/>
    </row>
    <row r="13" spans="1:115" x14ac:dyDescent="0.25">
      <c r="A13" s="3" t="s">
        <v>46</v>
      </c>
      <c r="B13" s="3">
        <v>0</v>
      </c>
      <c r="C13" s="3" t="str">
        <f>INDEX(rngUnitSettings,MATCH("Length",INDEX(rngUnitSettings,,1),0),2)</f>
        <v>mm</v>
      </c>
      <c r="D13" s="3" t="s">
        <v>47</v>
      </c>
      <c r="E13" s="29" t="s">
        <v>807</v>
      </c>
      <c r="F13" s="3"/>
      <c r="G13" s="3"/>
      <c r="H13" s="3"/>
      <c r="I13" s="3"/>
      <c r="J13" s="3"/>
      <c r="K13" s="3"/>
      <c r="L13" s="3"/>
      <c r="M13" s="3"/>
      <c r="N13" s="14" t="s">
        <v>240</v>
      </c>
      <c r="O13" s="14" t="s">
        <v>267</v>
      </c>
      <c r="P13" s="14" t="s">
        <v>242</v>
      </c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 t="str">
        <f>IF(INDEX(rngLoadCombinations,13,1)="","",INDEX(rngLoadCombinations,13,1))</f>
        <v/>
      </c>
      <c r="DF13" s="3"/>
      <c r="DG13" s="3"/>
      <c r="DH13" s="3"/>
      <c r="DI13" s="3"/>
      <c r="DJ13" s="3"/>
      <c r="DK13" s="3"/>
    </row>
    <row r="14" spans="1:1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 t="s">
        <v>268</v>
      </c>
      <c r="O14" s="3" t="s">
        <v>269</v>
      </c>
      <c r="P14" s="16" t="s">
        <v>270</v>
      </c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 t="str">
        <f>IF(INDEX(rngLoadCombinations,14,1)="","",INDEX(rngLoadCombinations,14,1))</f>
        <v/>
      </c>
      <c r="DF14" s="3"/>
      <c r="DG14" s="3"/>
      <c r="DH14" s="3"/>
      <c r="DI14" s="3"/>
      <c r="DJ14" s="3"/>
      <c r="DK14" s="3"/>
    </row>
    <row r="15" spans="1:115" x14ac:dyDescent="0.25">
      <c r="A15" s="15" t="s">
        <v>48</v>
      </c>
      <c r="B15" s="15"/>
      <c r="C15" s="15"/>
      <c r="D15" s="15"/>
      <c r="E15" s="15"/>
      <c r="F15" s="12" t="s">
        <v>311</v>
      </c>
      <c r="G15" s="13"/>
      <c r="H15" s="13"/>
      <c r="I15" s="13"/>
      <c r="J15" s="3"/>
      <c r="K15" s="3"/>
      <c r="L15" s="3"/>
      <c r="M15" s="3"/>
      <c r="N15" s="3" t="s">
        <v>271</v>
      </c>
      <c r="O15" s="3" t="s">
        <v>272</v>
      </c>
      <c r="P15" s="16" t="s">
        <v>272</v>
      </c>
      <c r="Q15" s="12" t="s">
        <v>332</v>
      </c>
      <c r="R15" s="13"/>
      <c r="S15" s="13"/>
      <c r="T15" s="1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 t="str">
        <f>IF(INDEX(rngLoadCombinations,15,1)="","",INDEX(rngLoadCombinations,15,1))</f>
        <v/>
      </c>
      <c r="DF15" s="3"/>
      <c r="DG15" s="3"/>
      <c r="DH15" s="3"/>
      <c r="DI15" s="3"/>
      <c r="DJ15" s="3"/>
      <c r="DK15" s="3"/>
    </row>
    <row r="16" spans="1:115" x14ac:dyDescent="0.25">
      <c r="A16" s="3" t="s">
        <v>49</v>
      </c>
      <c r="B16" s="3">
        <v>15.5</v>
      </c>
      <c r="C16" s="3" t="str">
        <f>INDEX(rngUnitSettings,MATCH("Stress",INDEX(rngUnitSettings,,1),0),2)</f>
        <v>MPa</v>
      </c>
      <c r="D16" s="3" t="s">
        <v>50</v>
      </c>
      <c r="E16" s="29" t="s">
        <v>807</v>
      </c>
      <c r="F16" s="14" t="s">
        <v>25</v>
      </c>
      <c r="G16" s="14" t="s">
        <v>20</v>
      </c>
      <c r="H16" s="14" t="s">
        <v>21</v>
      </c>
      <c r="I16" s="14" t="s">
        <v>22</v>
      </c>
      <c r="J16" s="14" t="s">
        <v>26</v>
      </c>
      <c r="K16" s="3"/>
      <c r="L16" s="3"/>
      <c r="M16" s="3"/>
      <c r="N16" s="3" t="s">
        <v>273</v>
      </c>
      <c r="O16" s="3" t="s">
        <v>274</v>
      </c>
      <c r="P16" s="16" t="s">
        <v>274</v>
      </c>
      <c r="Q16" s="14" t="s">
        <v>25</v>
      </c>
      <c r="R16" s="14" t="s">
        <v>20</v>
      </c>
      <c r="S16" s="14" t="s">
        <v>21</v>
      </c>
      <c r="T16" s="14" t="s">
        <v>22</v>
      </c>
      <c r="U16" s="14" t="s">
        <v>26</v>
      </c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 t="str">
        <f>IF(INDEX(rngLoadCombinations,16,1)="","",INDEX(rngLoadCombinations,16,1))</f>
        <v/>
      </c>
      <c r="DF16" s="3"/>
      <c r="DG16" s="3"/>
      <c r="DH16" s="3"/>
      <c r="DI16" s="3"/>
      <c r="DJ16" s="3"/>
      <c r="DK16" s="3"/>
    </row>
    <row r="17" spans="1:115" x14ac:dyDescent="0.25">
      <c r="A17" s="3" t="s">
        <v>51</v>
      </c>
      <c r="B17" s="3">
        <v>1.1000000000000001</v>
      </c>
      <c r="C17" s="3" t="str">
        <f>INDEX(rngUnitSettings,MATCH("Stress",INDEX(rngUnitSettings,,1),0),2)</f>
        <v>MPa</v>
      </c>
      <c r="D17" s="3" t="s">
        <v>52</v>
      </c>
      <c r="E17" s="29" t="s">
        <v>807</v>
      </c>
      <c r="F17" s="3" t="s">
        <v>312</v>
      </c>
      <c r="G17" s="3">
        <v>300</v>
      </c>
      <c r="H17" s="3" t="str">
        <f>INDEX(rngUnitSettings,MATCH("Length",INDEX(rngUnitSettings,,1),0),2)</f>
        <v>mm</v>
      </c>
      <c r="I17" s="3" t="s">
        <v>313</v>
      </c>
      <c r="J17" s="29" t="s">
        <v>807</v>
      </c>
      <c r="K17" s="3"/>
      <c r="L17" s="3"/>
      <c r="M17" s="3"/>
      <c r="N17" s="3"/>
      <c r="O17" s="3"/>
      <c r="P17" s="3"/>
      <c r="Q17" s="3" t="s">
        <v>333</v>
      </c>
      <c r="R17" s="3">
        <v>300</v>
      </c>
      <c r="S17" s="3" t="str">
        <f>INDEX(rngUnitSettings,MATCH("Length",INDEX(rngUnitSettings,,1),0),2)</f>
        <v>mm</v>
      </c>
      <c r="T17" s="3" t="s">
        <v>334</v>
      </c>
      <c r="U17" s="29" t="s">
        <v>807</v>
      </c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 t="str">
        <f>IF(INDEX(rngLoadCombinations,17,1)="","",INDEX(rngLoadCombinations,17,1))</f>
        <v/>
      </c>
      <c r="DF17" s="3"/>
      <c r="DG17" s="3"/>
      <c r="DH17" s="3"/>
      <c r="DI17" s="3"/>
      <c r="DJ17" s="3"/>
      <c r="DK17" s="3"/>
    </row>
    <row r="18" spans="1:115" x14ac:dyDescent="0.25">
      <c r="A18" s="3" t="s">
        <v>53</v>
      </c>
      <c r="B18" s="3">
        <v>22</v>
      </c>
      <c r="C18" s="3" t="str">
        <f>INDEX(rngUnitSettings,MATCH("Stress",INDEX(rngUnitSettings,,1),0),2)</f>
        <v>MPa</v>
      </c>
      <c r="D18" s="3" t="s">
        <v>54</v>
      </c>
      <c r="E18" s="29" t="s">
        <v>807</v>
      </c>
      <c r="F18" s="3" t="s">
        <v>314</v>
      </c>
      <c r="G18" s="3">
        <v>40</v>
      </c>
      <c r="H18" s="3" t="str">
        <f>INDEX(rngUnitSettings,MATCH("Length",INDEX(rngUnitSettings,,1),0),2)</f>
        <v>mm</v>
      </c>
      <c r="I18" s="3" t="s">
        <v>315</v>
      </c>
      <c r="J18" s="29" t="s">
        <v>807</v>
      </c>
      <c r="K18" s="3"/>
      <c r="L18" s="3"/>
      <c r="M18" s="3"/>
      <c r="N18" s="3"/>
      <c r="O18" s="3"/>
      <c r="P18" s="3"/>
      <c r="Q18" s="3" t="s">
        <v>335</v>
      </c>
      <c r="R18" s="3">
        <v>200</v>
      </c>
      <c r="S18" s="3" t="str">
        <f>INDEX(rngUnitSettings,MATCH("Length",INDEX(rngUnitSettings,,1),0),2)</f>
        <v>mm</v>
      </c>
      <c r="T18" s="3" t="s">
        <v>336</v>
      </c>
      <c r="U18" s="29" t="s">
        <v>807</v>
      </c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 t="str">
        <f>IF(INDEX(rngLoadCombinations,18,1)="","",INDEX(rngLoadCombinations,18,1))</f>
        <v/>
      </c>
      <c r="DF18" s="3"/>
      <c r="DG18" s="3"/>
      <c r="DH18" s="3"/>
      <c r="DI18" s="3"/>
      <c r="DJ18" s="3"/>
      <c r="DK18" s="3"/>
    </row>
    <row r="19" spans="1:115" x14ac:dyDescent="0.25">
      <c r="A19" s="3" t="s">
        <v>55</v>
      </c>
      <c r="B19" s="3">
        <v>1.8</v>
      </c>
      <c r="C19" s="3" t="str">
        <f>INDEX(rngUnitSettings,MATCH("Stress",INDEX(rngUnitSettings,,1),0),2)</f>
        <v>MPa</v>
      </c>
      <c r="D19" s="3" t="s">
        <v>56</v>
      </c>
      <c r="E19" s="29" t="s">
        <v>807</v>
      </c>
      <c r="F19" s="3" t="s">
        <v>316</v>
      </c>
      <c r="G19" s="3">
        <v>8</v>
      </c>
      <c r="H19" s="3" t="s">
        <v>42</v>
      </c>
      <c r="I19" s="3" t="s">
        <v>317</v>
      </c>
      <c r="J19" s="29" t="s">
        <v>807</v>
      </c>
      <c r="K19" s="3"/>
      <c r="L19" s="3"/>
      <c r="M19" s="3"/>
      <c r="N19" s="3"/>
      <c r="O19" s="3"/>
      <c r="P19" s="3"/>
      <c r="Q19" s="3" t="s">
        <v>337</v>
      </c>
      <c r="R19" s="3">
        <v>0</v>
      </c>
      <c r="S19" s="3" t="str">
        <f>INDEX(rngUnitSettings,MATCH("Length",INDEX(rngUnitSettings,,1),0),2)</f>
        <v>mm</v>
      </c>
      <c r="T19" s="3" t="s">
        <v>338</v>
      </c>
      <c r="U19" s="29" t="s">
        <v>807</v>
      </c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 t="str">
        <f>IF(INDEX(rngLoadCombinations,19,1)="","",INDEX(rngLoadCombinations,19,1))</f>
        <v/>
      </c>
      <c r="DF19" s="3"/>
      <c r="DG19" s="3"/>
      <c r="DH19" s="3"/>
      <c r="DI19" s="3"/>
      <c r="DJ19" s="3"/>
      <c r="DK19" s="3"/>
    </row>
    <row r="20" spans="1:115" x14ac:dyDescent="0.25">
      <c r="A20" s="3" t="s">
        <v>57</v>
      </c>
      <c r="B20" s="3">
        <v>32500</v>
      </c>
      <c r="C20" s="3" t="str">
        <f>INDEX(rngUnitSettings,MATCH("Stress",INDEX(rngUnitSettings,,1),0),2)</f>
        <v>MPa</v>
      </c>
      <c r="D20" s="3" t="s">
        <v>58</v>
      </c>
      <c r="E20" s="29" t="s">
        <v>807</v>
      </c>
      <c r="F20" s="3" t="s">
        <v>318</v>
      </c>
      <c r="G20" s="3">
        <v>20</v>
      </c>
      <c r="H20" s="3" t="str">
        <f>INDEX(rngUnitSettings,MATCH("Length",INDEX(rngUnitSettings,,1),0),2)</f>
        <v>mm</v>
      </c>
      <c r="I20" s="3" t="s">
        <v>319</v>
      </c>
      <c r="J20" s="29" t="s">
        <v>807</v>
      </c>
      <c r="K20" s="3"/>
      <c r="L20" s="3"/>
      <c r="M20" s="3"/>
      <c r="N20" s="3"/>
      <c r="O20" s="3"/>
      <c r="P20" s="3"/>
      <c r="Q20" s="3" t="s">
        <v>339</v>
      </c>
      <c r="R20" s="3">
        <v>0</v>
      </c>
      <c r="S20" s="3" t="str">
        <f>INDEX(rngUnitSettings,MATCH("Length",INDEX(rngUnitSettings,,1),0),2)</f>
        <v>mm</v>
      </c>
      <c r="T20" s="3" t="s">
        <v>340</v>
      </c>
      <c r="U20" s="29" t="s">
        <v>807</v>
      </c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 t="str">
        <f>IF(INDEX(rngLoadCombinations,20,1)="","",INDEX(rngLoadCombinations,20,1))</f>
        <v/>
      </c>
      <c r="DF20" s="3"/>
      <c r="DG20" s="3"/>
      <c r="DH20" s="3"/>
      <c r="DI20" s="3"/>
      <c r="DJ20" s="3"/>
      <c r="DK20" s="3"/>
    </row>
    <row r="21" spans="1:115" x14ac:dyDescent="0.25">
      <c r="A21" s="3" t="s">
        <v>59</v>
      </c>
      <c r="B21" s="3" t="s">
        <v>60</v>
      </c>
      <c r="C21" s="3"/>
      <c r="D21" s="3" t="s">
        <v>61</v>
      </c>
      <c r="E21" s="29" t="s">
        <v>807</v>
      </c>
      <c r="F21" s="3" t="s">
        <v>320</v>
      </c>
      <c r="G21" s="3"/>
      <c r="H21" s="3"/>
      <c r="I21" s="3" t="s">
        <v>321</v>
      </c>
      <c r="J21" s="3"/>
      <c r="K21" s="3"/>
      <c r="L21" s="3"/>
      <c r="M21" s="3"/>
      <c r="N21" s="3"/>
      <c r="O21" s="3"/>
      <c r="P21" s="3"/>
      <c r="Q21" s="3" t="s">
        <v>341</v>
      </c>
      <c r="R21" s="3">
        <v>0</v>
      </c>
      <c r="S21" s="3" t="str">
        <f>INDEX(rngUnitSettings,MATCH("Length",INDEX(rngUnitSettings,,1),0),2)</f>
        <v>mm</v>
      </c>
      <c r="T21" s="3" t="s">
        <v>342</v>
      </c>
      <c r="U21" s="29" t="s">
        <v>807</v>
      </c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 t="str">
        <f>IF(INDEX(rngLoadCombinations,21,1)="","",INDEX(rngLoadCombinations,21,1))</f>
        <v/>
      </c>
      <c r="DF21" s="3"/>
      <c r="DG21" s="3"/>
      <c r="DH21" s="3"/>
      <c r="DI21" s="3"/>
      <c r="DJ21" s="3"/>
      <c r="DK21" s="3"/>
    </row>
    <row r="22" spans="1:115" x14ac:dyDescent="0.25">
      <c r="A22" s="3" t="s">
        <v>62</v>
      </c>
      <c r="B22" s="3">
        <v>-3.5000000000000001E-3</v>
      </c>
      <c r="C22" s="3"/>
      <c r="D22" s="3" t="s">
        <v>63</v>
      </c>
      <c r="E22" s="29" t="s">
        <v>807</v>
      </c>
      <c r="F22" s="3" t="s">
        <v>322</v>
      </c>
      <c r="G22" s="3"/>
      <c r="H22" s="3" t="str">
        <f>INDEX(rngUnitSettings,MATCH("Length",INDEX(rngUnitSettings,,1),0),2)</f>
        <v>mm</v>
      </c>
      <c r="I22" s="3" t="s">
        <v>323</v>
      </c>
      <c r="J22" s="29" t="s">
        <v>807</v>
      </c>
      <c r="K22" s="3"/>
      <c r="L22" s="3"/>
      <c r="M22" s="3"/>
      <c r="N22" s="3"/>
      <c r="O22" s="3"/>
      <c r="P22" s="3"/>
      <c r="Q22" s="3" t="s">
        <v>343</v>
      </c>
      <c r="R22" s="3">
        <v>0</v>
      </c>
      <c r="S22" s="3" t="str">
        <f>INDEX(rngUnitSettings,MATCH("Length",INDEX(rngUnitSettings,,1),0),2)</f>
        <v>mm</v>
      </c>
      <c r="T22" s="3" t="s">
        <v>344</v>
      </c>
      <c r="U22" s="29" t="s">
        <v>807</v>
      </c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</row>
    <row r="23" spans="1:115" x14ac:dyDescent="0.25">
      <c r="A23" s="3" t="s">
        <v>64</v>
      </c>
      <c r="B23" s="3">
        <v>1.4999999999999999E-4</v>
      </c>
      <c r="C23" s="3"/>
      <c r="D23" s="3" t="s">
        <v>65</v>
      </c>
      <c r="E23" s="29" t="s">
        <v>807</v>
      </c>
      <c r="F23" s="3" t="s">
        <v>324</v>
      </c>
      <c r="G23" s="3"/>
      <c r="H23" s="3" t="str">
        <f>INDEX(rngUnitSettings,MATCH("Length",INDEX(rngUnitSettings,,1),0),2)</f>
        <v>mm</v>
      </c>
      <c r="I23" s="3" t="s">
        <v>325</v>
      </c>
      <c r="J23" s="29" t="s">
        <v>807</v>
      </c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</row>
    <row r="24" spans="1:115" x14ac:dyDescent="0.25">
      <c r="A24" s="3"/>
      <c r="B24" s="3"/>
      <c r="C24" s="3"/>
      <c r="D24" s="3"/>
      <c r="E24" s="3"/>
      <c r="F24" s="3" t="s">
        <v>326</v>
      </c>
      <c r="G24" s="3" t="s">
        <v>327</v>
      </c>
      <c r="H24" s="3"/>
      <c r="I24" s="3" t="s">
        <v>328</v>
      </c>
      <c r="J24" s="29" t="s">
        <v>807</v>
      </c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</row>
    <row r="25" spans="1:115" x14ac:dyDescent="0.25">
      <c r="A25" s="15" t="s">
        <v>66</v>
      </c>
      <c r="B25" s="15"/>
      <c r="C25" s="15"/>
      <c r="D25" s="15"/>
      <c r="E25" s="15"/>
      <c r="F25" s="3" t="s">
        <v>329</v>
      </c>
      <c r="G25" s="3" t="s">
        <v>327</v>
      </c>
      <c r="H25" s="3"/>
      <c r="I25" s="3" t="s">
        <v>330</v>
      </c>
      <c r="J25" s="29" t="s">
        <v>807</v>
      </c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</row>
    <row r="26" spans="1:115" x14ac:dyDescent="0.25">
      <c r="A26" s="3" t="s">
        <v>67</v>
      </c>
      <c r="B26" s="3" t="s">
        <v>68</v>
      </c>
      <c r="C26" s="3"/>
      <c r="D26" s="3" t="s">
        <v>69</v>
      </c>
      <c r="E26" s="29" t="s">
        <v>807</v>
      </c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</row>
    <row r="27" spans="1:115" x14ac:dyDescent="0.25">
      <c r="A27" s="3" t="s">
        <v>70</v>
      </c>
      <c r="B27" s="3">
        <v>350</v>
      </c>
      <c r="C27" s="3" t="str">
        <f>INDEX(rngUnitSettings,MATCH("Stress",INDEX(rngUnitSettings,,1),0),2)</f>
        <v>MPa</v>
      </c>
      <c r="D27" s="3" t="s">
        <v>71</v>
      </c>
      <c r="E27" s="29" t="s">
        <v>807</v>
      </c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</row>
    <row r="28" spans="1:115" x14ac:dyDescent="0.25">
      <c r="A28" s="3" t="s">
        <v>72</v>
      </c>
      <c r="B28" s="3">
        <v>350</v>
      </c>
      <c r="C28" s="3" t="str">
        <f>INDEX(rngUnitSettings,MATCH("Stress",INDEX(rngUnitSettings,,1),0),2)</f>
        <v>MPa</v>
      </c>
      <c r="D28" s="3" t="s">
        <v>73</v>
      </c>
      <c r="E28" s="29" t="s">
        <v>807</v>
      </c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</row>
    <row r="29" spans="1:115" x14ac:dyDescent="0.25">
      <c r="A29" s="3" t="s">
        <v>74</v>
      </c>
      <c r="B29" s="3">
        <v>200000</v>
      </c>
      <c r="C29" s="3" t="str">
        <f>INDEX(rngUnitSettings,MATCH("Stress",INDEX(rngUnitSettings,,1),0),2)</f>
        <v>MPa</v>
      </c>
      <c r="D29" s="3" t="s">
        <v>75</v>
      </c>
      <c r="E29" s="29" t="s">
        <v>807</v>
      </c>
      <c r="F29" s="12" t="s">
        <v>345</v>
      </c>
      <c r="G29" s="13"/>
      <c r="H29" s="13"/>
      <c r="I29" s="13"/>
      <c r="J29" s="13"/>
      <c r="K29" s="13"/>
      <c r="L29" s="13"/>
      <c r="M29" s="13"/>
      <c r="N29" s="1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</row>
    <row r="30" spans="1:115" x14ac:dyDescent="0.25">
      <c r="A30" s="3" t="s">
        <v>76</v>
      </c>
      <c r="B30" s="3">
        <v>2.5000000000000001E-2</v>
      </c>
      <c r="C30" s="3"/>
      <c r="D30" s="3" t="s">
        <v>77</v>
      </c>
      <c r="E30" s="29" t="s">
        <v>807</v>
      </c>
      <c r="F30" s="30" t="s">
        <v>812</v>
      </c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</row>
    <row r="31" spans="1:115" x14ac:dyDescent="0.25">
      <c r="A31" s="3"/>
      <c r="B31" s="3"/>
      <c r="C31" s="3"/>
      <c r="D31" s="3"/>
      <c r="E31" s="3"/>
      <c r="F31" s="14" t="s">
        <v>346</v>
      </c>
      <c r="G31" s="14" t="s">
        <v>347</v>
      </c>
      <c r="H31" s="14" t="s">
        <v>348</v>
      </c>
      <c r="I31" s="14" t="s">
        <v>349</v>
      </c>
      <c r="J31" s="3" t="str">
        <f>INDEX(rngUnitSettings,MATCH("Length",INDEX(rngUnitSettings,,1),0),2)</f>
        <v>mm</v>
      </c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</row>
    <row r="32" spans="1:115" x14ac:dyDescent="0.25">
      <c r="A32" s="15" t="s">
        <v>78</v>
      </c>
      <c r="B32" s="15"/>
      <c r="C32" s="15"/>
      <c r="D32" s="15"/>
      <c r="E32" s="15"/>
      <c r="F32" s="3">
        <v>550</v>
      </c>
      <c r="G32" s="3">
        <v>250</v>
      </c>
      <c r="H32" s="3">
        <v>250</v>
      </c>
      <c r="I32" s="3">
        <v>600</v>
      </c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</row>
    <row r="33" spans="1:115" x14ac:dyDescent="0.25">
      <c r="A33" s="3" t="s">
        <v>79</v>
      </c>
      <c r="B33" s="3" t="s">
        <v>80</v>
      </c>
      <c r="C33" s="3"/>
      <c r="D33" s="3" t="s">
        <v>81</v>
      </c>
      <c r="E33" s="29" t="s">
        <v>807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</row>
    <row r="34" spans="1:115" x14ac:dyDescent="0.25">
      <c r="A34" s="3" t="s">
        <v>82</v>
      </c>
      <c r="B34" s="3">
        <v>40</v>
      </c>
      <c r="C34" s="3" t="s">
        <v>42</v>
      </c>
      <c r="D34" s="3" t="s">
        <v>83</v>
      </c>
      <c r="E34" s="29" t="s">
        <v>807</v>
      </c>
      <c r="F34" s="15" t="s">
        <v>350</v>
      </c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</row>
    <row r="35" spans="1:115" x14ac:dyDescent="0.25">
      <c r="A35" s="3" t="s">
        <v>84</v>
      </c>
      <c r="B35" s="3">
        <v>1</v>
      </c>
      <c r="C35" s="3" t="s">
        <v>42</v>
      </c>
      <c r="D35" s="3" t="s">
        <v>85</v>
      </c>
      <c r="E35" s="29" t="s">
        <v>807</v>
      </c>
      <c r="F35" s="14" t="s">
        <v>351</v>
      </c>
      <c r="G35" s="14" t="s">
        <v>352</v>
      </c>
      <c r="H35" s="14" t="s">
        <v>353</v>
      </c>
      <c r="I35" s="14" t="s">
        <v>354</v>
      </c>
      <c r="J35" s="14" t="s">
        <v>355</v>
      </c>
      <c r="K35" s="14" t="s">
        <v>356</v>
      </c>
      <c r="L35" s="14" t="s">
        <v>21</v>
      </c>
      <c r="M35" s="14" t="s">
        <v>22</v>
      </c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</row>
    <row r="36" spans="1:115" x14ac:dyDescent="0.25">
      <c r="A36" s="3" t="s">
        <v>86</v>
      </c>
      <c r="B36" s="3">
        <v>1</v>
      </c>
      <c r="C36" s="3" t="str">
        <f>INDEX(rngUnitSettings,MATCH("Force",INDEX(rngUnitSettings,,1),0),2)</f>
        <v>tf</v>
      </c>
      <c r="D36" s="3" t="s">
        <v>87</v>
      </c>
      <c r="E36" s="29" t="s">
        <v>807</v>
      </c>
      <c r="F36" s="3" t="s">
        <v>357</v>
      </c>
      <c r="G36" s="3">
        <v>40</v>
      </c>
      <c r="H36" s="3">
        <v>32</v>
      </c>
      <c r="I36" s="3">
        <v>5</v>
      </c>
      <c r="J36" s="3">
        <v>80</v>
      </c>
      <c r="K36" s="3">
        <v>80</v>
      </c>
      <c r="L36" s="3" t="str">
        <f>INDEX(rngUnitSettings,MATCH("Length",INDEX(rngUnitSettings,,1),0),2)</f>
        <v>mm</v>
      </c>
      <c r="M36" s="3" t="s">
        <v>358</v>
      </c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</row>
    <row r="37" spans="1:115" x14ac:dyDescent="0.25">
      <c r="A37" s="3" t="s">
        <v>88</v>
      </c>
      <c r="B37" s="3">
        <v>1000</v>
      </c>
      <c r="C37" s="3" t="str">
        <f>INDEX(rngUnitSettings,MATCH("Moment",INDEX(rngUnitSettings,,1),0),2)</f>
        <v>tf*m</v>
      </c>
      <c r="D37" s="3" t="s">
        <v>89</v>
      </c>
      <c r="E37" s="29" t="s">
        <v>807</v>
      </c>
      <c r="F37" s="3" t="s">
        <v>359</v>
      </c>
      <c r="G37" s="3">
        <v>40</v>
      </c>
      <c r="H37" s="3">
        <v>32</v>
      </c>
      <c r="I37" s="3">
        <v>5</v>
      </c>
      <c r="J37" s="3">
        <v>80</v>
      </c>
      <c r="K37" s="3">
        <v>80</v>
      </c>
      <c r="L37" s="3" t="str">
        <f>INDEX(rngUnitSettings,MATCH("Length",INDEX(rngUnitSettings,,1),0),2)</f>
        <v>mm</v>
      </c>
      <c r="M37" s="3" t="s">
        <v>360</v>
      </c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</row>
    <row r="38" spans="1:115" x14ac:dyDescent="0.25">
      <c r="A38" s="3" t="s">
        <v>90</v>
      </c>
      <c r="B38" s="3">
        <v>1000</v>
      </c>
      <c r="C38" s="3" t="str">
        <f>INDEX(rngUnitSettings,MATCH("Moment",INDEX(rngUnitSettings,,1),0),2)</f>
        <v>tf*m</v>
      </c>
      <c r="D38" s="3" t="s">
        <v>91</v>
      </c>
      <c r="E38" s="29" t="s">
        <v>807</v>
      </c>
      <c r="F38" s="3" t="s">
        <v>361</v>
      </c>
      <c r="G38" s="3">
        <v>40</v>
      </c>
      <c r="H38" s="3">
        <v>32</v>
      </c>
      <c r="I38" s="3">
        <v>2</v>
      </c>
      <c r="J38" s="3">
        <v>80</v>
      </c>
      <c r="K38" s="3">
        <v>80</v>
      </c>
      <c r="L38" s="3" t="str">
        <f>INDEX(rngUnitSettings,MATCH("Length",INDEX(rngUnitSettings,,1),0),2)</f>
        <v>mm</v>
      </c>
      <c r="M38" s="3" t="s">
        <v>362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</row>
    <row r="39" spans="1:115" x14ac:dyDescent="0.25">
      <c r="A39" s="3" t="s">
        <v>92</v>
      </c>
      <c r="B39" s="3" t="s">
        <v>93</v>
      </c>
      <c r="C39" s="3"/>
      <c r="D39" s="3" t="s">
        <v>94</v>
      </c>
      <c r="E39" s="29" t="s">
        <v>807</v>
      </c>
      <c r="F39" s="3" t="s">
        <v>363</v>
      </c>
      <c r="G39" s="3">
        <v>40</v>
      </c>
      <c r="H39" s="3">
        <v>32</v>
      </c>
      <c r="I39" s="3">
        <v>2</v>
      </c>
      <c r="J39" s="3">
        <v>80</v>
      </c>
      <c r="K39" s="3">
        <v>80</v>
      </c>
      <c r="L39" s="3" t="str">
        <f>INDEX(rngUnitSettings,MATCH("Length",INDEX(rngUnitSettings,,1),0),2)</f>
        <v>mm</v>
      </c>
      <c r="M39" s="3" t="s">
        <v>364</v>
      </c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</row>
    <row r="40" spans="1:115" x14ac:dyDescent="0.25">
      <c r="A40" s="3" t="s">
        <v>95</v>
      </c>
      <c r="B40" s="3">
        <v>1</v>
      </c>
      <c r="C40" s="3"/>
      <c r="D40" s="3" t="s">
        <v>96</v>
      </c>
      <c r="E40" s="29" t="s">
        <v>807</v>
      </c>
      <c r="F40" s="3" t="s">
        <v>365</v>
      </c>
      <c r="G40" s="3">
        <v>40</v>
      </c>
      <c r="H40" s="3">
        <v>32</v>
      </c>
      <c r="I40" s="3">
        <v>2</v>
      </c>
      <c r="J40" s="3">
        <v>80</v>
      </c>
      <c r="K40" s="3">
        <v>80</v>
      </c>
      <c r="L40" s="3" t="str">
        <f>INDEX(rngUnitSettings,MATCH("Length",INDEX(rngUnitSettings,,1),0),2)</f>
        <v>mm</v>
      </c>
      <c r="M40" s="3" t="s">
        <v>366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</row>
    <row r="41" spans="1:115" x14ac:dyDescent="0.25">
      <c r="A41" s="3" t="s">
        <v>97</v>
      </c>
      <c r="B41" s="3">
        <v>3.125E-2</v>
      </c>
      <c r="C41" s="3"/>
      <c r="D41" s="3" t="s">
        <v>98</v>
      </c>
      <c r="E41" s="29" t="s">
        <v>807</v>
      </c>
      <c r="F41" s="3" t="s">
        <v>367</v>
      </c>
      <c r="G41" s="3">
        <v>40</v>
      </c>
      <c r="H41" s="3">
        <v>32</v>
      </c>
      <c r="I41" s="3">
        <v>2</v>
      </c>
      <c r="J41" s="3">
        <v>80</v>
      </c>
      <c r="K41" s="3">
        <v>80</v>
      </c>
      <c r="L41" s="3" t="str">
        <f>INDEX(rngUnitSettings,MATCH("Length",INDEX(rngUnitSettings,,1),0),2)</f>
        <v>mm</v>
      </c>
      <c r="M41" s="3" t="s">
        <v>368</v>
      </c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</row>
    <row r="42" spans="1:115" x14ac:dyDescent="0.25">
      <c r="A42" s="3" t="s">
        <v>99</v>
      </c>
      <c r="B42" s="3">
        <v>5.0000000000000001E-4</v>
      </c>
      <c r="C42" s="3"/>
      <c r="D42" s="3" t="s">
        <v>100</v>
      </c>
      <c r="E42" s="29" t="s">
        <v>807</v>
      </c>
      <c r="F42" s="3" t="s">
        <v>369</v>
      </c>
      <c r="G42" s="3">
        <v>40</v>
      </c>
      <c r="H42" s="3">
        <v>32</v>
      </c>
      <c r="I42" s="3">
        <v>5</v>
      </c>
      <c r="J42" s="3">
        <v>80</v>
      </c>
      <c r="K42" s="3">
        <v>80</v>
      </c>
      <c r="L42" s="3" t="str">
        <f>INDEX(rngUnitSettings,MATCH("Length",INDEX(rngUnitSettings,,1),0),2)</f>
        <v>mm</v>
      </c>
      <c r="M42" s="3" t="s">
        <v>370</v>
      </c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</row>
    <row r="43" spans="1:115" x14ac:dyDescent="0.25">
      <c r="A43" s="3" t="s">
        <v>101</v>
      </c>
      <c r="B43" s="3">
        <v>1.0000000000000001E-5</v>
      </c>
      <c r="C43" s="3" t="str">
        <f>INDEX(rngUnitSettings,MATCH("Curvature",INDEX(rngUnitSettings,,1),0),2)</f>
        <v>1/mm</v>
      </c>
      <c r="D43" s="3" t="s">
        <v>102</v>
      </c>
      <c r="E43" s="29" t="s">
        <v>807</v>
      </c>
      <c r="F43" s="3" t="s">
        <v>371</v>
      </c>
      <c r="G43" s="3">
        <v>40</v>
      </c>
      <c r="H43" s="3">
        <v>32</v>
      </c>
      <c r="I43" s="3">
        <v>5</v>
      </c>
      <c r="J43" s="3">
        <v>80</v>
      </c>
      <c r="K43" s="3">
        <v>80</v>
      </c>
      <c r="L43" s="3" t="str">
        <f>INDEX(rngUnitSettings,MATCH("Length",INDEX(rngUnitSettings,,1),0),2)</f>
        <v>mm</v>
      </c>
      <c r="M43" s="3" t="s">
        <v>372</v>
      </c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</row>
    <row r="44" spans="1:115" x14ac:dyDescent="0.25">
      <c r="A44" s="3" t="s">
        <v>103</v>
      </c>
      <c r="B44" s="3">
        <v>2</v>
      </c>
      <c r="C44" s="3" t="s">
        <v>42</v>
      </c>
      <c r="D44" s="3" t="s">
        <v>104</v>
      </c>
      <c r="E44" s="29" t="s">
        <v>807</v>
      </c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</row>
    <row r="45" spans="1:115" x14ac:dyDescent="0.25">
      <c r="A45" s="3" t="s">
        <v>105</v>
      </c>
      <c r="B45" s="3">
        <v>9.9999999999999998E-13</v>
      </c>
      <c r="C45" s="3"/>
      <c r="D45" s="3" t="s">
        <v>106</v>
      </c>
      <c r="E45" s="29" t="s">
        <v>807</v>
      </c>
      <c r="F45" s="15" t="s">
        <v>373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</row>
    <row r="46" spans="1:115" x14ac:dyDescent="0.25">
      <c r="A46" s="3"/>
      <c r="B46" s="3"/>
      <c r="C46" s="3"/>
      <c r="D46" s="3"/>
      <c r="E46" s="3"/>
      <c r="F46" s="14" t="s">
        <v>351</v>
      </c>
      <c r="G46" s="14" t="s">
        <v>374</v>
      </c>
      <c r="H46" s="14" t="s">
        <v>375</v>
      </c>
      <c r="I46" s="14" t="s">
        <v>376</v>
      </c>
      <c r="J46" s="14" t="s">
        <v>377</v>
      </c>
      <c r="K46" s="14" t="s">
        <v>375</v>
      </c>
      <c r="L46" s="14" t="s">
        <v>376</v>
      </c>
      <c r="M46" s="14" t="s">
        <v>21</v>
      </c>
      <c r="N46" s="14" t="s">
        <v>22</v>
      </c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</row>
    <row r="47" spans="1:115" x14ac:dyDescent="0.25">
      <c r="A47" s="15" t="s">
        <v>107</v>
      </c>
      <c r="B47" s="15"/>
      <c r="C47" s="15"/>
      <c r="D47" s="15"/>
      <c r="E47" s="15"/>
      <c r="F47" s="3" t="s">
        <v>357</v>
      </c>
      <c r="G47" s="3"/>
      <c r="H47" s="3" t="s">
        <v>327</v>
      </c>
      <c r="I47" s="3" t="s">
        <v>378</v>
      </c>
      <c r="J47" s="3"/>
      <c r="K47" s="3" t="s">
        <v>327</v>
      </c>
      <c r="L47" s="3" t="s">
        <v>378</v>
      </c>
      <c r="M47" s="3" t="str">
        <f>INDEX(rngUnitSettings,MATCH("Length",INDEX(rngUnitSettings,,1),0),2)</f>
        <v>mm</v>
      </c>
      <c r="N47" s="3" t="s">
        <v>379</v>
      </c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</row>
    <row r="48" spans="1:115" x14ac:dyDescent="0.25">
      <c r="A48" s="3" t="s">
        <v>108</v>
      </c>
      <c r="B48" s="3" t="s">
        <v>109</v>
      </c>
      <c r="C48" s="3"/>
      <c r="D48" s="3" t="s">
        <v>110</v>
      </c>
      <c r="E48" s="29" t="s">
        <v>807</v>
      </c>
      <c r="F48" s="3" t="s">
        <v>359</v>
      </c>
      <c r="G48" s="3"/>
      <c r="H48" s="3" t="s">
        <v>327</v>
      </c>
      <c r="I48" s="3" t="s">
        <v>378</v>
      </c>
      <c r="J48" s="3"/>
      <c r="K48" s="3" t="s">
        <v>327</v>
      </c>
      <c r="L48" s="3" t="s">
        <v>378</v>
      </c>
      <c r="M48" s="3" t="str">
        <f>INDEX(rngUnitSettings,MATCH("Length",INDEX(rngUnitSettings,,1),0),2)</f>
        <v>mm</v>
      </c>
      <c r="N48" s="3" t="s">
        <v>380</v>
      </c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</row>
    <row r="49" spans="1:115" x14ac:dyDescent="0.25">
      <c r="A49" s="3" t="s">
        <v>111</v>
      </c>
      <c r="B49" s="3" t="s">
        <v>112</v>
      </c>
      <c r="C49" s="3"/>
      <c r="D49" s="3" t="s">
        <v>113</v>
      </c>
      <c r="E49" s="29" t="s">
        <v>807</v>
      </c>
      <c r="F49" s="3" t="s">
        <v>361</v>
      </c>
      <c r="G49" s="3"/>
      <c r="H49" s="3" t="s">
        <v>327</v>
      </c>
      <c r="I49" s="3" t="s">
        <v>378</v>
      </c>
      <c r="J49" s="3"/>
      <c r="K49" s="3" t="s">
        <v>327</v>
      </c>
      <c r="L49" s="3" t="s">
        <v>378</v>
      </c>
      <c r="M49" s="3" t="str">
        <f>INDEX(rngUnitSettings,MATCH("Length",INDEX(rngUnitSettings,,1),0),2)</f>
        <v>mm</v>
      </c>
      <c r="N49" s="3" t="s">
        <v>381</v>
      </c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</row>
    <row r="50" spans="1:115" x14ac:dyDescent="0.25">
      <c r="A50" s="3" t="s">
        <v>114</v>
      </c>
      <c r="B50" s="3" t="s">
        <v>115</v>
      </c>
      <c r="C50" s="3"/>
      <c r="D50" s="3" t="s">
        <v>116</v>
      </c>
      <c r="E50" s="29" t="s">
        <v>807</v>
      </c>
      <c r="F50" s="3" t="s">
        <v>363</v>
      </c>
      <c r="G50" s="3"/>
      <c r="H50" s="3" t="s">
        <v>327</v>
      </c>
      <c r="I50" s="3" t="s">
        <v>378</v>
      </c>
      <c r="J50" s="3"/>
      <c r="K50" s="3" t="s">
        <v>327</v>
      </c>
      <c r="L50" s="3" t="s">
        <v>378</v>
      </c>
      <c r="M50" s="3" t="str">
        <f>INDEX(rngUnitSettings,MATCH("Length",INDEX(rngUnitSettings,,1),0),2)</f>
        <v>mm</v>
      </c>
      <c r="N50" s="3" t="s">
        <v>382</v>
      </c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</row>
    <row r="51" spans="1:115" x14ac:dyDescent="0.25">
      <c r="A51" s="3" t="s">
        <v>117</v>
      </c>
      <c r="B51" s="3">
        <v>1</v>
      </c>
      <c r="C51" s="3"/>
      <c r="D51" s="3" t="s">
        <v>118</v>
      </c>
      <c r="E51" s="29" t="s">
        <v>807</v>
      </c>
      <c r="F51" s="3" t="s">
        <v>365</v>
      </c>
      <c r="G51" s="3"/>
      <c r="H51" s="3" t="s">
        <v>327</v>
      </c>
      <c r="I51" s="3" t="s">
        <v>378</v>
      </c>
      <c r="J51" s="3"/>
      <c r="K51" s="3" t="s">
        <v>327</v>
      </c>
      <c r="L51" s="3" t="s">
        <v>378</v>
      </c>
      <c r="M51" s="3" t="str">
        <f>INDEX(rngUnitSettings,MATCH("Length",INDEX(rngUnitSettings,,1),0),2)</f>
        <v>mm</v>
      </c>
      <c r="N51" s="3" t="s">
        <v>383</v>
      </c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</row>
    <row r="52" spans="1:115" x14ac:dyDescent="0.25">
      <c r="A52" s="3" t="s">
        <v>119</v>
      </c>
      <c r="B52" s="3">
        <v>0.01</v>
      </c>
      <c r="C52" s="3"/>
      <c r="D52" s="3" t="s">
        <v>120</v>
      </c>
      <c r="E52" s="29" t="s">
        <v>807</v>
      </c>
      <c r="F52" s="3" t="s">
        <v>367</v>
      </c>
      <c r="G52" s="3"/>
      <c r="H52" s="3" t="s">
        <v>327</v>
      </c>
      <c r="I52" s="3" t="s">
        <v>378</v>
      </c>
      <c r="J52" s="3"/>
      <c r="K52" s="3" t="s">
        <v>327</v>
      </c>
      <c r="L52" s="3" t="s">
        <v>378</v>
      </c>
      <c r="M52" s="3" t="str">
        <f>INDEX(rngUnitSettings,MATCH("Length",INDEX(rngUnitSettings,,1),0),2)</f>
        <v>mm</v>
      </c>
      <c r="N52" s="3" t="s">
        <v>384</v>
      </c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</row>
    <row r="53" spans="1:115" x14ac:dyDescent="0.25">
      <c r="A53" s="3" t="s">
        <v>121</v>
      </c>
      <c r="B53" s="3">
        <v>0</v>
      </c>
      <c r="C53" s="3" t="s">
        <v>42</v>
      </c>
      <c r="D53" s="3" t="s">
        <v>122</v>
      </c>
      <c r="E53" s="29" t="s">
        <v>807</v>
      </c>
      <c r="F53" s="3" t="s">
        <v>369</v>
      </c>
      <c r="G53" s="3"/>
      <c r="H53" s="3" t="s">
        <v>327</v>
      </c>
      <c r="I53" s="3" t="s">
        <v>378</v>
      </c>
      <c r="J53" s="3"/>
      <c r="K53" s="3" t="s">
        <v>327</v>
      </c>
      <c r="L53" s="3" t="s">
        <v>378</v>
      </c>
      <c r="M53" s="3" t="str">
        <f>INDEX(rngUnitSettings,MATCH("Length",INDEX(rngUnitSettings,,1),0),2)</f>
        <v>mm</v>
      </c>
      <c r="N53" s="3" t="s">
        <v>385</v>
      </c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</row>
    <row r="54" spans="1:115" x14ac:dyDescent="0.25">
      <c r="A54" s="3" t="s">
        <v>123</v>
      </c>
      <c r="B54" s="3">
        <v>1</v>
      </c>
      <c r="C54" s="3" t="s">
        <v>42</v>
      </c>
      <c r="D54" s="3" t="s">
        <v>124</v>
      </c>
      <c r="E54" s="29" t="s">
        <v>807</v>
      </c>
      <c r="F54" s="3" t="s">
        <v>371</v>
      </c>
      <c r="G54" s="3"/>
      <c r="H54" s="3" t="s">
        <v>327</v>
      </c>
      <c r="I54" s="3" t="s">
        <v>378</v>
      </c>
      <c r="J54" s="3"/>
      <c r="K54" s="3" t="s">
        <v>327</v>
      </c>
      <c r="L54" s="3" t="s">
        <v>378</v>
      </c>
      <c r="M54" s="3" t="str">
        <f>INDEX(rngUnitSettings,MATCH("Length",INDEX(rngUnitSettings,,1),0),2)</f>
        <v>mm</v>
      </c>
      <c r="N54" s="3" t="s">
        <v>386</v>
      </c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</row>
    <row r="55" spans="1:115" x14ac:dyDescent="0.25">
      <c r="A55" s="3" t="s">
        <v>125</v>
      </c>
      <c r="B55" s="3">
        <v>1.0000000000000001E-5</v>
      </c>
      <c r="C55" s="3"/>
      <c r="D55" s="3" t="s">
        <v>126</v>
      </c>
      <c r="E55" s="29" t="s">
        <v>807</v>
      </c>
      <c r="F55" s="3"/>
      <c r="G55" s="3"/>
      <c r="H55" s="3"/>
      <c r="I55" s="3"/>
      <c r="J55" s="3"/>
      <c r="K55" s="3"/>
      <c r="L55" s="3"/>
      <c r="M55" s="3"/>
      <c r="N55" s="3"/>
      <c r="O55" s="3"/>
      <c r="P55" s="28" t="s">
        <v>813</v>
      </c>
      <c r="Q55" s="13"/>
      <c r="R55" s="13"/>
      <c r="S55" s="13"/>
      <c r="T55" s="1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</row>
    <row r="56" spans="1:115" x14ac:dyDescent="0.25">
      <c r="A56" s="3" t="s">
        <v>127</v>
      </c>
      <c r="B56" s="3">
        <v>64</v>
      </c>
      <c r="C56" s="3"/>
      <c r="D56" s="3" t="s">
        <v>128</v>
      </c>
      <c r="E56" s="29" t="s">
        <v>807</v>
      </c>
      <c r="F56" s="3"/>
      <c r="G56" s="3"/>
      <c r="H56" s="3"/>
      <c r="I56" s="3"/>
      <c r="J56" s="3"/>
      <c r="K56" s="3"/>
      <c r="L56" s="3"/>
      <c r="M56" s="3"/>
      <c r="N56" s="3"/>
      <c r="O56" s="3"/>
      <c r="P56" s="14" t="s">
        <v>25</v>
      </c>
      <c r="Q56" s="14" t="s">
        <v>277</v>
      </c>
      <c r="R56" s="14" t="s">
        <v>278</v>
      </c>
      <c r="S56" s="14" t="s">
        <v>21</v>
      </c>
      <c r="T56" s="14" t="s">
        <v>22</v>
      </c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</row>
    <row r="57" spans="1:115" x14ac:dyDescent="0.25">
      <c r="A57" s="3" t="s">
        <v>129</v>
      </c>
      <c r="B57" s="3">
        <v>60</v>
      </c>
      <c r="C57" s="3" t="s">
        <v>42</v>
      </c>
      <c r="D57" s="3" t="s">
        <v>130</v>
      </c>
      <c r="E57" s="29" t="s">
        <v>807</v>
      </c>
      <c r="F57" s="3"/>
      <c r="G57" s="3"/>
      <c r="H57" s="3"/>
      <c r="I57" s="3"/>
      <c r="J57" s="3"/>
      <c r="K57" s="3"/>
      <c r="L57" s="3"/>
      <c r="M57" s="3"/>
      <c r="N57" s="3"/>
      <c r="O57" s="3"/>
      <c r="P57" s="3" t="s">
        <v>279</v>
      </c>
      <c r="Q57" s="3" t="s">
        <v>93</v>
      </c>
      <c r="R57" s="3" t="s">
        <v>93</v>
      </c>
      <c r="S57" s="3" t="s">
        <v>280</v>
      </c>
      <c r="T57" s="3" t="s">
        <v>281</v>
      </c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</row>
    <row r="58" spans="1:115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 t="s">
        <v>282</v>
      </c>
      <c r="Q58" s="3" t="s">
        <v>283</v>
      </c>
      <c r="R58" s="3" t="s">
        <v>283</v>
      </c>
      <c r="S58" s="3"/>
      <c r="T58" s="3" t="s">
        <v>284</v>
      </c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</row>
    <row r="59" spans="1:115" x14ac:dyDescent="0.25">
      <c r="A59" s="15" t="s">
        <v>131</v>
      </c>
      <c r="B59" s="15"/>
      <c r="C59" s="15"/>
      <c r="D59" s="15"/>
      <c r="E59" s="15"/>
      <c r="F59" s="3"/>
      <c r="G59" s="3"/>
      <c r="H59" s="3"/>
      <c r="I59" s="3"/>
      <c r="J59" s="3"/>
      <c r="K59" s="3"/>
      <c r="L59" s="3"/>
      <c r="M59" s="3"/>
      <c r="N59" s="3"/>
      <c r="O59" s="3"/>
      <c r="P59" s="3" t="s">
        <v>285</v>
      </c>
      <c r="Q59" s="3">
        <v>60</v>
      </c>
      <c r="R59" s="3">
        <v>100</v>
      </c>
      <c r="S59" s="3" t="s">
        <v>39</v>
      </c>
      <c r="T59" s="3" t="s">
        <v>286</v>
      </c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</row>
    <row r="60" spans="1:115" x14ac:dyDescent="0.25">
      <c r="A60" s="3" t="s">
        <v>132</v>
      </c>
      <c r="B60" s="3" t="s">
        <v>93</v>
      </c>
      <c r="C60" s="3"/>
      <c r="D60" s="3" t="s">
        <v>133</v>
      </c>
      <c r="E60" s="29" t="s">
        <v>807</v>
      </c>
      <c r="F60" s="3"/>
      <c r="G60" s="3"/>
      <c r="H60" s="3"/>
      <c r="I60" s="3"/>
      <c r="J60" s="3"/>
      <c r="K60" s="3"/>
      <c r="L60" s="3"/>
      <c r="M60" s="3"/>
      <c r="N60" s="3"/>
      <c r="O60" s="3"/>
      <c r="P60" s="3" t="s">
        <v>287</v>
      </c>
      <c r="Q60" s="3" t="s">
        <v>93</v>
      </c>
      <c r="R60" s="3" t="s">
        <v>288</v>
      </c>
      <c r="S60" s="3" t="s">
        <v>280</v>
      </c>
      <c r="T60" s="3" t="s">
        <v>289</v>
      </c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</row>
    <row r="61" spans="1:115" x14ac:dyDescent="0.25">
      <c r="A61" s="3" t="s">
        <v>134</v>
      </c>
      <c r="B61" s="3">
        <v>0.3</v>
      </c>
      <c r="C61" s="3" t="str">
        <f>INDEX(rngUnitSettings,MATCH("Length",INDEX(rngUnitSettings,,1),0),2)</f>
        <v>mm</v>
      </c>
      <c r="D61" s="3" t="s">
        <v>135</v>
      </c>
      <c r="E61" s="29" t="s">
        <v>807</v>
      </c>
      <c r="F61" s="3"/>
      <c r="G61" s="3"/>
      <c r="H61" s="3"/>
      <c r="I61" s="3"/>
      <c r="J61" s="3"/>
      <c r="K61" s="3"/>
      <c r="L61" s="3"/>
      <c r="M61" s="3"/>
      <c r="N61" s="3"/>
      <c r="O61" s="3"/>
      <c r="P61" s="3" t="s">
        <v>290</v>
      </c>
      <c r="Q61" s="3">
        <v>1.35</v>
      </c>
      <c r="R61" s="3">
        <v>1.75</v>
      </c>
      <c r="S61" s="3" t="s">
        <v>291</v>
      </c>
      <c r="T61" s="3" t="s">
        <v>292</v>
      </c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</row>
    <row r="62" spans="1:115" x14ac:dyDescent="0.25">
      <c r="A62" s="3" t="s">
        <v>136</v>
      </c>
      <c r="B62" s="3" t="s">
        <v>137</v>
      </c>
      <c r="C62" s="3"/>
      <c r="D62" s="3" t="s">
        <v>138</v>
      </c>
      <c r="E62" s="29" t="s">
        <v>807</v>
      </c>
      <c r="F62" s="3"/>
      <c r="G62" s="3"/>
      <c r="H62" s="3"/>
      <c r="I62" s="3"/>
      <c r="J62" s="3"/>
      <c r="K62" s="3"/>
      <c r="L62" s="3"/>
      <c r="M62" s="3"/>
      <c r="N62" s="3"/>
      <c r="O62" s="3"/>
      <c r="P62" s="3" t="s">
        <v>293</v>
      </c>
      <c r="Q62" s="3" t="s">
        <v>288</v>
      </c>
      <c r="R62" s="3">
        <v>0.85</v>
      </c>
      <c r="S62" s="3" t="s">
        <v>291</v>
      </c>
      <c r="T62" s="3" t="s">
        <v>294</v>
      </c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</row>
    <row r="63" spans="1:115" x14ac:dyDescent="0.25">
      <c r="A63" s="3" t="s">
        <v>139</v>
      </c>
      <c r="B63" s="3" t="s">
        <v>140</v>
      </c>
      <c r="C63" s="3"/>
      <c r="D63" s="3" t="s">
        <v>141</v>
      </c>
      <c r="E63" s="29" t="s">
        <v>807</v>
      </c>
      <c r="F63" s="3"/>
      <c r="G63" s="3"/>
      <c r="H63" s="3"/>
      <c r="I63" s="3"/>
      <c r="J63" s="3"/>
      <c r="K63" s="3"/>
      <c r="L63" s="3"/>
      <c r="M63" s="3"/>
      <c r="N63" s="3"/>
      <c r="O63" s="3"/>
      <c r="P63" s="3" t="s">
        <v>295</v>
      </c>
      <c r="Q63" s="3">
        <v>25</v>
      </c>
      <c r="R63" s="3">
        <v>25</v>
      </c>
      <c r="S63" s="3" t="s">
        <v>39</v>
      </c>
      <c r="T63" s="3" t="s">
        <v>296</v>
      </c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</row>
    <row r="64" spans="1:115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 t="s">
        <v>297</v>
      </c>
      <c r="Q64" s="3">
        <v>15</v>
      </c>
      <c r="R64" s="3">
        <v>15</v>
      </c>
      <c r="S64" s="3" t="s">
        <v>39</v>
      </c>
      <c r="T64" s="3" t="s">
        <v>298</v>
      </c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</row>
    <row r="65" spans="1:115" x14ac:dyDescent="0.25">
      <c r="A65" s="15" t="s">
        <v>142</v>
      </c>
      <c r="B65" s="15"/>
      <c r="C65" s="15"/>
      <c r="D65" s="15"/>
      <c r="E65" s="15"/>
      <c r="F65" s="3"/>
      <c r="G65" s="3"/>
      <c r="H65" s="3"/>
      <c r="I65" s="3"/>
      <c r="J65" s="3"/>
      <c r="K65" s="3"/>
      <c r="L65" s="3"/>
      <c r="M65" s="3"/>
      <c r="N65" s="3"/>
      <c r="O65" s="3"/>
      <c r="P65" s="3" t="s">
        <v>299</v>
      </c>
      <c r="Q65" s="3" t="s">
        <v>288</v>
      </c>
      <c r="R65" s="3" t="s">
        <v>300</v>
      </c>
      <c r="S65" s="3"/>
      <c r="T65" s="3" t="s">
        <v>301</v>
      </c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</row>
    <row r="66" spans="1:115" x14ac:dyDescent="0.25">
      <c r="A66" s="3" t="s">
        <v>143</v>
      </c>
      <c r="B66" s="3" t="s">
        <v>144</v>
      </c>
      <c r="C66" s="3"/>
      <c r="D66" s="3" t="s">
        <v>145</v>
      </c>
      <c r="E66" s="29" t="s">
        <v>807</v>
      </c>
      <c r="F66" s="3"/>
      <c r="G66" s="3"/>
      <c r="H66" s="3"/>
      <c r="I66" s="3"/>
      <c r="J66" s="3"/>
      <c r="K66" s="3"/>
      <c r="L66" s="3"/>
      <c r="M66" s="3"/>
      <c r="N66" s="3"/>
      <c r="O66" s="3"/>
      <c r="P66" s="3" t="s">
        <v>302</v>
      </c>
      <c r="Q66" s="3" t="s">
        <v>288</v>
      </c>
      <c r="R66" s="3" t="s">
        <v>303</v>
      </c>
      <c r="S66" s="3"/>
      <c r="T66" s="3" t="s">
        <v>304</v>
      </c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</row>
    <row r="67" spans="1:115" x14ac:dyDescent="0.25">
      <c r="A67" s="3" t="s">
        <v>146</v>
      </c>
      <c r="B67" s="3" t="s">
        <v>93</v>
      </c>
      <c r="C67" s="3"/>
      <c r="D67" s="3" t="s">
        <v>147</v>
      </c>
      <c r="E67" s="29" t="s">
        <v>807</v>
      </c>
      <c r="F67" s="3"/>
      <c r="G67" s="3"/>
      <c r="H67" s="3"/>
      <c r="I67" s="3"/>
      <c r="J67" s="3"/>
      <c r="K67" s="3"/>
      <c r="L67" s="3"/>
      <c r="M67" s="3"/>
      <c r="N67" s="3"/>
      <c r="O67" s="3"/>
      <c r="P67" s="3" t="s">
        <v>305</v>
      </c>
      <c r="Q67" s="17" t="s">
        <v>306</v>
      </c>
      <c r="R67" s="17" t="s">
        <v>306</v>
      </c>
      <c r="S67" s="3" t="s">
        <v>225</v>
      </c>
      <c r="T67" s="3" t="s">
        <v>307</v>
      </c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</row>
    <row r="68" spans="1:115" x14ac:dyDescent="0.25">
      <c r="A68" s="3" t="s">
        <v>148</v>
      </c>
      <c r="B68" s="3" t="s">
        <v>93</v>
      </c>
      <c r="C68" s="3"/>
      <c r="D68" s="3" t="s">
        <v>149</v>
      </c>
      <c r="E68" s="29" t="s">
        <v>807</v>
      </c>
      <c r="F68" s="3"/>
      <c r="G68" s="3"/>
      <c r="H68" s="3"/>
      <c r="I68" s="3"/>
      <c r="J68" s="3"/>
      <c r="K68" s="3"/>
      <c r="L68" s="3"/>
      <c r="M68" s="3"/>
      <c r="N68" s="3"/>
      <c r="O68" s="3"/>
      <c r="P68" s="3" t="s">
        <v>308</v>
      </c>
      <c r="Q68" s="17" t="s">
        <v>288</v>
      </c>
      <c r="R68" s="17" t="s">
        <v>309</v>
      </c>
      <c r="S68" s="3" t="s">
        <v>225</v>
      </c>
      <c r="T68" s="3" t="s">
        <v>310</v>
      </c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</row>
    <row r="69" spans="1:115" x14ac:dyDescent="0.25">
      <c r="A69" s="3" t="s">
        <v>150</v>
      </c>
      <c r="B69" s="3" t="s">
        <v>93</v>
      </c>
      <c r="C69" s="3"/>
      <c r="D69" s="3" t="s">
        <v>151</v>
      </c>
      <c r="E69" s="29" t="s">
        <v>807</v>
      </c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</row>
    <row r="70" spans="1:115" x14ac:dyDescent="0.25">
      <c r="A70" s="3" t="s">
        <v>152</v>
      </c>
      <c r="B70" s="3" t="s">
        <v>153</v>
      </c>
      <c r="C70" s="3"/>
      <c r="D70" s="3" t="s">
        <v>154</v>
      </c>
      <c r="E70" s="29" t="s">
        <v>807</v>
      </c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</row>
    <row r="71" spans="1:115" x14ac:dyDescent="0.25">
      <c r="A71" s="3" t="s">
        <v>155</v>
      </c>
      <c r="B71" s="3" t="s">
        <v>156</v>
      </c>
      <c r="C71" s="3"/>
      <c r="D71" s="3" t="s">
        <v>157</v>
      </c>
      <c r="E71" s="29" t="s">
        <v>807</v>
      </c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</row>
    <row r="72" spans="1:115" x14ac:dyDescent="0.25">
      <c r="A72" s="3" t="s">
        <v>158</v>
      </c>
      <c r="B72" s="3" t="s">
        <v>159</v>
      </c>
      <c r="C72" s="3"/>
      <c r="D72" s="3" t="s">
        <v>160</v>
      </c>
      <c r="E72" s="29" t="s">
        <v>807</v>
      </c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</row>
    <row r="73" spans="1:115" x14ac:dyDescent="0.25">
      <c r="A73" s="3" t="s">
        <v>161</v>
      </c>
      <c r="B73" s="3" t="s">
        <v>162</v>
      </c>
      <c r="C73" s="3"/>
      <c r="D73" s="3" t="s">
        <v>163</v>
      </c>
      <c r="E73" s="29" t="s">
        <v>807</v>
      </c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</row>
    <row r="74" spans="1:115" x14ac:dyDescent="0.25">
      <c r="A74" s="3" t="s">
        <v>164</v>
      </c>
      <c r="B74" s="3" t="s">
        <v>165</v>
      </c>
      <c r="C74" s="3"/>
      <c r="D74" s="3" t="s">
        <v>166</v>
      </c>
      <c r="E74" s="29" t="s">
        <v>807</v>
      </c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</row>
    <row r="75" spans="1:115" x14ac:dyDescent="0.25">
      <c r="A75" s="3" t="s">
        <v>167</v>
      </c>
      <c r="B75" s="3" t="s">
        <v>168</v>
      </c>
      <c r="C75" s="3"/>
      <c r="D75" s="3" t="s">
        <v>169</v>
      </c>
      <c r="E75" s="29" t="s">
        <v>807</v>
      </c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</row>
    <row r="76" spans="1:115" x14ac:dyDescent="0.25">
      <c r="A76" s="3" t="s">
        <v>170</v>
      </c>
      <c r="B76" s="3" t="s">
        <v>171</v>
      </c>
      <c r="C76" s="3"/>
      <c r="D76" s="3" t="s">
        <v>172</v>
      </c>
      <c r="E76" s="29" t="s">
        <v>807</v>
      </c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</row>
    <row r="77" spans="1:115" x14ac:dyDescent="0.25">
      <c r="A77" s="3" t="s">
        <v>173</v>
      </c>
      <c r="B77" s="3" t="s">
        <v>174</v>
      </c>
      <c r="C77" s="3"/>
      <c r="D77" s="3" t="s">
        <v>175</v>
      </c>
      <c r="E77" s="29" t="s">
        <v>807</v>
      </c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</row>
    <row r="78" spans="1:115" x14ac:dyDescent="0.25">
      <c r="A78" s="3" t="s">
        <v>176</v>
      </c>
      <c r="B78" s="3">
        <v>9</v>
      </c>
      <c r="C78" s="3"/>
      <c r="D78" s="3" t="s">
        <v>177</v>
      </c>
      <c r="E78" s="29" t="s">
        <v>807</v>
      </c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</row>
    <row r="79" spans="1:115" x14ac:dyDescent="0.25">
      <c r="A79" s="3" t="s">
        <v>178</v>
      </c>
      <c r="B79" s="3">
        <v>5</v>
      </c>
      <c r="C79" s="3"/>
      <c r="D79" s="3" t="s">
        <v>179</v>
      </c>
      <c r="E79" s="29" t="s">
        <v>807</v>
      </c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</row>
    <row r="80" spans="1:115" x14ac:dyDescent="0.25">
      <c r="A80" s="3" t="s">
        <v>180</v>
      </c>
      <c r="B80" s="3">
        <v>1</v>
      </c>
      <c r="C80" s="3"/>
      <c r="D80" s="3" t="s">
        <v>181</v>
      </c>
      <c r="E80" s="29" t="s">
        <v>807</v>
      </c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</row>
    <row r="81" spans="1:115" x14ac:dyDescent="0.25">
      <c r="A81" s="3" t="s">
        <v>182</v>
      </c>
      <c r="B81" s="3">
        <v>6</v>
      </c>
      <c r="C81" s="3"/>
      <c r="D81" s="3" t="s">
        <v>183</v>
      </c>
      <c r="E81" s="27" t="s">
        <v>807</v>
      </c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</row>
    <row r="82" spans="1:115" x14ac:dyDescent="0.25">
      <c r="A82" s="3" t="s">
        <v>184</v>
      </c>
      <c r="B82" s="3">
        <v>8</v>
      </c>
      <c r="C82" s="3"/>
      <c r="D82" s="3" t="s">
        <v>185</v>
      </c>
      <c r="E82" s="27" t="s">
        <v>807</v>
      </c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</row>
    <row r="83" spans="1:115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</row>
    <row r="84" spans="1:115" x14ac:dyDescent="0.25">
      <c r="A84" s="15" t="s">
        <v>186</v>
      </c>
      <c r="B84" s="15"/>
      <c r="C84" s="15"/>
      <c r="D84" s="15"/>
      <c r="E84" s="15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</row>
    <row r="85" spans="1:115" x14ac:dyDescent="0.25">
      <c r="A85" s="3" t="s">
        <v>187</v>
      </c>
      <c r="B85" s="3" t="s">
        <v>159</v>
      </c>
      <c r="C85" s="3"/>
      <c r="D85" s="3" t="s">
        <v>188</v>
      </c>
      <c r="E85" s="27" t="s">
        <v>807</v>
      </c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</row>
    <row r="86" spans="1:115" x14ac:dyDescent="0.25">
      <c r="A86" s="3" t="s">
        <v>189</v>
      </c>
      <c r="B86" s="3" t="s">
        <v>162</v>
      </c>
      <c r="C86" s="3"/>
      <c r="D86" s="3" t="s">
        <v>190</v>
      </c>
      <c r="E86" s="27" t="s">
        <v>807</v>
      </c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</row>
    <row r="87" spans="1:115" x14ac:dyDescent="0.25">
      <c r="A87" s="3" t="s">
        <v>191</v>
      </c>
      <c r="B87" s="3">
        <v>9.9999999999999995E-7</v>
      </c>
      <c r="C87" s="3" t="str">
        <f>INDEX(rngUnitSettings,MATCH("Area",INDEX(rngUnitSettings,,1),0),2)</f>
        <v>mm2</v>
      </c>
      <c r="D87" s="3" t="s">
        <v>192</v>
      </c>
      <c r="E87" s="27" t="s">
        <v>807</v>
      </c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</row>
    <row r="88" spans="1:115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</row>
    <row r="89" spans="1:115" x14ac:dyDescent="0.25">
      <c r="A89" s="15" t="s">
        <v>193</v>
      </c>
      <c r="B89" s="15"/>
      <c r="C89" s="15"/>
      <c r="D89" s="15"/>
      <c r="E89" s="15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</row>
    <row r="90" spans="1:115" x14ac:dyDescent="0.25">
      <c r="A90" s="3" t="s">
        <v>194</v>
      </c>
      <c r="B90" s="3" t="s">
        <v>93</v>
      </c>
      <c r="C90" s="3"/>
      <c r="D90" s="3" t="s">
        <v>195</v>
      </c>
      <c r="E90" s="27" t="s">
        <v>807</v>
      </c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</row>
    <row r="91" spans="1:115" x14ac:dyDescent="0.25">
      <c r="A91" s="3" t="s">
        <v>196</v>
      </c>
      <c r="B91" s="3" t="s">
        <v>93</v>
      </c>
      <c r="C91" s="3"/>
      <c r="D91" s="3" t="s">
        <v>197</v>
      </c>
      <c r="E91" s="27" t="s">
        <v>807</v>
      </c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</row>
    <row r="92" spans="1:115" x14ac:dyDescent="0.25">
      <c r="A92" s="3" t="s">
        <v>198</v>
      </c>
      <c r="B92" s="3" t="s">
        <v>144</v>
      </c>
      <c r="C92" s="3"/>
      <c r="D92" s="3" t="s">
        <v>199</v>
      </c>
      <c r="E92" s="27" t="s">
        <v>807</v>
      </c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</row>
    <row r="93" spans="1:115" x14ac:dyDescent="0.25">
      <c r="A93" s="3" t="s">
        <v>200</v>
      </c>
      <c r="B93" s="3" t="s">
        <v>153</v>
      </c>
      <c r="C93" s="3"/>
      <c r="D93" s="3" t="s">
        <v>201</v>
      </c>
      <c r="E93" s="27" t="s">
        <v>807</v>
      </c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</row>
    <row r="94" spans="1:115" x14ac:dyDescent="0.25">
      <c r="A94" s="3" t="s">
        <v>202</v>
      </c>
      <c r="B94" s="3" t="s">
        <v>93</v>
      </c>
      <c r="C94" s="3"/>
      <c r="D94" s="3" t="s">
        <v>203</v>
      </c>
      <c r="E94" s="27" t="s">
        <v>807</v>
      </c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</row>
    <row r="95" spans="1:115" x14ac:dyDescent="0.25">
      <c r="A95" s="3" t="s">
        <v>204</v>
      </c>
      <c r="B95" s="3" t="s">
        <v>29</v>
      </c>
      <c r="C95" s="3"/>
      <c r="D95" s="3" t="s">
        <v>205</v>
      </c>
      <c r="E95" s="27" t="s">
        <v>807</v>
      </c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</row>
    <row r="96" spans="1:115" x14ac:dyDescent="0.25">
      <c r="A96" s="3" t="s">
        <v>206</v>
      </c>
      <c r="B96" s="3">
        <v>100</v>
      </c>
      <c r="C96" s="3" t="str">
        <f>INDEX(rngUnitSettings,MATCH("Length",INDEX(rngUnitSettings,,1),0),2)</f>
        <v>mm</v>
      </c>
      <c r="D96" s="3" t="s">
        <v>207</v>
      </c>
      <c r="E96" s="27" t="s">
        <v>807</v>
      </c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</row>
    <row r="97" spans="1:115" x14ac:dyDescent="0.25">
      <c r="A97" s="3" t="s">
        <v>208</v>
      </c>
      <c r="B97" s="3">
        <v>1</v>
      </c>
      <c r="C97" s="3" t="s">
        <v>42</v>
      </c>
      <c r="D97" s="3" t="s">
        <v>209</v>
      </c>
      <c r="E97" s="27" t="s">
        <v>807</v>
      </c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</row>
    <row r="98" spans="1:115" x14ac:dyDescent="0.25">
      <c r="A98" s="3" t="s">
        <v>210</v>
      </c>
      <c r="B98" s="3" t="s">
        <v>93</v>
      </c>
      <c r="C98" s="3"/>
      <c r="D98" s="3" t="s">
        <v>211</v>
      </c>
      <c r="E98" s="27" t="s">
        <v>807</v>
      </c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</row>
    <row r="99" spans="1:115" x14ac:dyDescent="0.25">
      <c r="A99" s="3" t="s">
        <v>212</v>
      </c>
      <c r="B99" s="3" t="s">
        <v>93</v>
      </c>
      <c r="C99" s="3"/>
      <c r="D99" s="3" t="s">
        <v>213</v>
      </c>
      <c r="E99" s="27" t="s">
        <v>807</v>
      </c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</row>
    <row r="100" spans="1:115" x14ac:dyDescent="0.25">
      <c r="A100" s="3" t="s">
        <v>214</v>
      </c>
      <c r="B100" s="3" t="s">
        <v>93</v>
      </c>
      <c r="C100" s="3"/>
      <c r="D100" s="3" t="s">
        <v>215</v>
      </c>
      <c r="E100" s="27" t="s">
        <v>807</v>
      </c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</row>
    <row r="101" spans="1:115" x14ac:dyDescent="0.25">
      <c r="A101" s="3" t="s">
        <v>216</v>
      </c>
      <c r="B101" s="3" t="s">
        <v>93</v>
      </c>
      <c r="C101" s="3"/>
      <c r="D101" s="3" t="s">
        <v>217</v>
      </c>
      <c r="E101" s="27" t="s">
        <v>807</v>
      </c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</row>
    <row r="102" spans="1:115" x14ac:dyDescent="0.25">
      <c r="A102" s="3" t="s">
        <v>218</v>
      </c>
      <c r="B102" s="3" t="s">
        <v>93</v>
      </c>
      <c r="C102" s="3"/>
      <c r="D102" s="3" t="s">
        <v>219</v>
      </c>
      <c r="E102" s="27" t="s">
        <v>807</v>
      </c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</row>
    <row r="103" spans="1:115" x14ac:dyDescent="0.25">
      <c r="A103" s="3" t="s">
        <v>220</v>
      </c>
      <c r="B103" s="3" t="s">
        <v>221</v>
      </c>
      <c r="C103" s="3"/>
      <c r="D103" s="3" t="s">
        <v>222</v>
      </c>
      <c r="E103" s="27" t="s">
        <v>807</v>
      </c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</row>
    <row r="104" spans="1:115" x14ac:dyDescent="0.25">
      <c r="A104" s="3" t="s">
        <v>223</v>
      </c>
      <c r="B104" s="3" t="s">
        <v>224</v>
      </c>
      <c r="C104" s="3" t="s">
        <v>225</v>
      </c>
      <c r="D104" s="3" t="s">
        <v>226</v>
      </c>
      <c r="E104" s="27" t="s">
        <v>807</v>
      </c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</row>
    <row r="105" spans="1:115" x14ac:dyDescent="0.25">
      <c r="A105" s="3" t="s">
        <v>227</v>
      </c>
      <c r="B105" s="3" t="s">
        <v>228</v>
      </c>
      <c r="C105" s="3" t="s">
        <v>225</v>
      </c>
      <c r="D105" s="3" t="s">
        <v>229</v>
      </c>
      <c r="E105" s="27" t="s">
        <v>807</v>
      </c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</row>
    <row r="106" spans="1:115" x14ac:dyDescent="0.25">
      <c r="A106" s="3" t="s">
        <v>230</v>
      </c>
      <c r="B106" s="3" t="s">
        <v>231</v>
      </c>
      <c r="C106" s="3" t="s">
        <v>225</v>
      </c>
      <c r="D106" s="3" t="s">
        <v>232</v>
      </c>
      <c r="E106" s="27" t="s">
        <v>807</v>
      </c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</row>
    <row r="107" spans="1:115" x14ac:dyDescent="0.25">
      <c r="A107" s="3" t="s">
        <v>233</v>
      </c>
      <c r="B107" s="3" t="s">
        <v>234</v>
      </c>
      <c r="C107" s="3" t="s">
        <v>225</v>
      </c>
      <c r="D107" s="3" t="s">
        <v>235</v>
      </c>
      <c r="E107" s="27" t="s">
        <v>807</v>
      </c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</row>
    <row r="108" spans="1:115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</row>
    <row r="109" spans="1:115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</row>
    <row r="110" spans="1:115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</row>
    <row r="111" spans="1:115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</row>
    <row r="112" spans="1:115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</row>
    <row r="113" spans="1:115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</row>
    <row r="114" spans="1:115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</row>
    <row r="115" spans="1:115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</row>
    <row r="116" spans="1:115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</row>
    <row r="117" spans="1:115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</row>
    <row r="118" spans="1:115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</row>
    <row r="119" spans="1:115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</row>
    <row r="120" spans="1:115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</row>
    <row r="121" spans="1:115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</row>
    <row r="122" spans="1:115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</row>
    <row r="123" spans="1:115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</row>
    <row r="124" spans="1:115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</row>
    <row r="125" spans="1:115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</row>
    <row r="126" spans="1:115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</row>
    <row r="127" spans="1:115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</row>
    <row r="128" spans="1:115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</row>
    <row r="129" spans="1:115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</row>
    <row r="130" spans="1:115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</row>
    <row r="131" spans="1:115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</row>
    <row r="132" spans="1:115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</row>
    <row r="133" spans="1:115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</row>
    <row r="134" spans="1:115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</row>
    <row r="135" spans="1:115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</row>
    <row r="136" spans="1:115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</row>
    <row r="137" spans="1:115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</row>
    <row r="138" spans="1:115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</row>
    <row r="139" spans="1:115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</row>
    <row r="140" spans="1:115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</row>
    <row r="141" spans="1:115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</row>
    <row r="142" spans="1:115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</row>
    <row r="143" spans="1:115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</row>
    <row r="144" spans="1:115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</row>
    <row r="145" spans="1:115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</row>
    <row r="146" spans="1:115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</row>
    <row r="147" spans="1:115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</row>
    <row r="148" spans="1:115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</row>
    <row r="149" spans="1:115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</row>
    <row r="150" spans="1:115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</row>
    <row r="151" spans="1:115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</row>
    <row r="152" spans="1:115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</row>
    <row r="153" spans="1:115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</row>
    <row r="154" spans="1:115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</row>
    <row r="155" spans="1:115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</row>
    <row r="156" spans="1:115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</row>
    <row r="157" spans="1:115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</row>
    <row r="158" spans="1:115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</row>
    <row r="159" spans="1:115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</row>
    <row r="160" spans="1:115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</row>
    <row r="161" spans="1:115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</row>
    <row r="162" spans="1:115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</row>
    <row r="163" spans="1:115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</row>
    <row r="164" spans="1:115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</row>
    <row r="165" spans="1:115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</row>
    <row r="166" spans="1:115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</row>
    <row r="167" spans="1:115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</row>
    <row r="168" spans="1:115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</row>
    <row r="169" spans="1:115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</row>
    <row r="170" spans="1:115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</row>
    <row r="171" spans="1:115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</row>
    <row r="172" spans="1:115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</row>
    <row r="173" spans="1:115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</row>
    <row r="174" spans="1:115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</row>
    <row r="175" spans="1:115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</row>
    <row r="176" spans="1:115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</row>
    <row r="177" spans="1:115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</row>
    <row r="178" spans="1:115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</row>
    <row r="179" spans="1:115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</row>
    <row r="180" spans="1:115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</row>
    <row r="181" spans="1:115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</row>
    <row r="182" spans="1:115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</row>
    <row r="183" spans="1:115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</row>
    <row r="184" spans="1:115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</row>
    <row r="185" spans="1:115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</row>
    <row r="186" spans="1:115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</row>
    <row r="187" spans="1:115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</row>
    <row r="188" spans="1:115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</row>
    <row r="189" spans="1:115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</row>
    <row r="190" spans="1:115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</row>
    <row r="191" spans="1:115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</row>
    <row r="192" spans="1:115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</row>
    <row r="193" spans="1:115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</row>
    <row r="194" spans="1:115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</row>
    <row r="195" spans="1:115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</row>
    <row r="196" spans="1:115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</row>
    <row r="197" spans="1:115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</row>
    <row r="198" spans="1:115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</row>
    <row r="199" spans="1:115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</row>
    <row r="200" spans="1:115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</row>
    <row r="201" spans="1:115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</row>
    <row r="202" spans="1:115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</row>
    <row r="203" spans="1:115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</row>
    <row r="204" spans="1:115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</row>
    <row r="205" spans="1:115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</row>
    <row r="206" spans="1:115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</row>
    <row r="207" spans="1:115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</row>
    <row r="208" spans="1:115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</row>
    <row r="209" spans="1:115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</row>
    <row r="210" spans="1:115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</row>
    <row r="211" spans="1:115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</row>
    <row r="212" spans="1:115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</row>
    <row r="213" spans="1:115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</row>
    <row r="214" spans="1:115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</row>
    <row r="215" spans="1:115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</row>
    <row r="216" spans="1:115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</row>
    <row r="217" spans="1:115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</row>
    <row r="218" spans="1:115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</row>
    <row r="219" spans="1:115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</row>
    <row r="220" spans="1:115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</row>
    <row r="221" spans="1:115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</row>
    <row r="222" spans="1:115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</row>
    <row r="223" spans="1:115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</row>
    <row r="224" spans="1:115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</row>
    <row r="225" spans="1:115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</row>
    <row r="226" spans="1:115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</row>
    <row r="227" spans="1:115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</row>
    <row r="228" spans="1:115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</row>
    <row r="229" spans="1:115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</row>
    <row r="230" spans="1:115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</row>
    <row r="231" spans="1:115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</row>
    <row r="232" spans="1:115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</row>
    <row r="233" spans="1:115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</row>
    <row r="234" spans="1:115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</row>
    <row r="235" spans="1:115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</row>
    <row r="236" spans="1:115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</row>
    <row r="237" spans="1:115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</row>
    <row r="238" spans="1:115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</row>
    <row r="239" spans="1:115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</row>
    <row r="240" spans="1:115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</row>
    <row r="241" spans="1:115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</row>
    <row r="242" spans="1:115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</row>
    <row r="243" spans="1:115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</row>
    <row r="244" spans="1:115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</row>
    <row r="245" spans="1:115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</row>
    <row r="246" spans="1:115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</row>
    <row r="247" spans="1:115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</row>
    <row r="248" spans="1:115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</row>
    <row r="249" spans="1:115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</row>
    <row r="250" spans="1:115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</row>
    <row r="251" spans="1:115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</row>
    <row r="252" spans="1:115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</row>
    <row r="253" spans="1:115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</row>
    <row r="254" spans="1:115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</row>
    <row r="255" spans="1:115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</row>
    <row r="256" spans="1:115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</row>
    <row r="257" spans="1:115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</row>
    <row r="258" spans="1:115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</row>
    <row r="259" spans="1:115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</row>
    <row r="260" spans="1:115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</row>
  </sheetData>
  <mergeCells count="8">
    <mergeCell ref="F2:H2"/>
    <mergeCell ref="J2:L2"/>
    <mergeCell ref="N2:Q2"/>
    <mergeCell ref="N12:P12"/>
    <mergeCell ref="P55:T55"/>
    <mergeCell ref="F15:I15"/>
    <mergeCell ref="Q15:T15"/>
    <mergeCell ref="F29:N29"/>
  </mergeCells>
  <dataValidations count="56">
    <dataValidation type="list" showInputMessage="1" showErrorMessage="1" sqref="O4" xr:uid="{85C9FFB9-22DA-47DB-9707-AE1DCA75126D}">
      <formula1>$BR$1:$BR$3</formula1>
    </dataValidation>
    <dataValidation type="list" showInputMessage="1" showErrorMessage="1" sqref="Q4" xr:uid="{CD799B98-16E7-4666-9FC5-09E10F687806}">
      <formula1>$BR$1:$BR$3</formula1>
    </dataValidation>
    <dataValidation type="list" showInputMessage="1" showErrorMessage="1" sqref="O5" xr:uid="{D8C359C0-DCDB-49C5-B1F8-B003BB6A67C9}">
      <formula1>$BS$1:$BS$3</formula1>
    </dataValidation>
    <dataValidation type="list" showInputMessage="1" showErrorMessage="1" sqref="Q5" xr:uid="{14B992A1-192D-478E-A1D7-1959BC518419}">
      <formula1>$BS$1:$BS$3</formula1>
    </dataValidation>
    <dataValidation type="list" showInputMessage="1" showErrorMessage="1" sqref="O6" xr:uid="{4846263D-97B5-45F4-A60A-C63552378926}">
      <formula1>$BT$1:$BT$3</formula1>
    </dataValidation>
    <dataValidation type="list" showInputMessage="1" showErrorMessage="1" sqref="Q6" xr:uid="{ADD4ABE5-3B33-4D30-9267-A0EBBE504391}">
      <formula1>$BT$1:$BT$3</formula1>
    </dataValidation>
    <dataValidation type="list" showInputMessage="1" showErrorMessage="1" sqref="O7" xr:uid="{62071837-03F6-46E5-9C52-0D213A005232}">
      <formula1>$BU$1:$BU$3</formula1>
    </dataValidation>
    <dataValidation type="list" showInputMessage="1" showErrorMessage="1" sqref="Q7" xr:uid="{E3A2B5A6-C006-4ACB-9DDA-E13F7DE2B7E0}">
      <formula1>$BU$1:$BU$3</formula1>
    </dataValidation>
    <dataValidation type="list" showInputMessage="1" showErrorMessage="1" sqref="O8" xr:uid="{76205DBB-4D16-44F2-9354-2E5700FDBB66}">
      <formula1>$BV$1:$BV$5</formula1>
    </dataValidation>
    <dataValidation type="list" showInputMessage="1" showErrorMessage="1" sqref="Q8" xr:uid="{0183ACD6-5794-4C67-89D4-26910F5E2813}">
      <formula1>$BV$1:$BV$5</formula1>
    </dataValidation>
    <dataValidation type="list" showInputMessage="1" showErrorMessage="1" sqref="O9" xr:uid="{22F5500E-8724-442A-B555-76D8F4AFF775}">
      <formula1>$BW$1:$BW$2</formula1>
    </dataValidation>
    <dataValidation type="list" showInputMessage="1" showErrorMessage="1" sqref="Q9" xr:uid="{829719EC-6C38-4E75-8752-A751DFB1A22C}">
      <formula1>$BW$1:$BW$2</formula1>
    </dataValidation>
    <dataValidation type="list" showInputMessage="1" showErrorMessage="1" sqref="O14" xr:uid="{710549E8-7E6A-4D0C-90C5-13C5AF0AA3B9}">
      <formula1>$BX$1:$BX$2</formula1>
    </dataValidation>
    <dataValidation type="list" showInputMessage="1" showErrorMessage="1" sqref="O15" xr:uid="{8C3D50F5-E26E-4354-A73F-037FD2B17553}">
      <formula1>$BY$1:$BY$2</formula1>
    </dataValidation>
    <dataValidation type="list" showInputMessage="1" showErrorMessage="1" sqref="O16" xr:uid="{EA492FCF-E600-4DA1-BA34-B8B627A876D4}">
      <formula1>$BZ$1:$BZ$2</formula1>
    </dataValidation>
    <dataValidation type="list" allowBlank="1" showInputMessage="1" showErrorMessage="1" sqref="G24 G25" xr:uid="{0BABD0BD-0190-41AE-9D3F-218C74AD65D1}">
      <formula1>$BI$1:$BI$2</formula1>
    </dataValidation>
    <dataValidation type="list" allowBlank="1" showInputMessage="1" showErrorMessage="1" sqref="H47 K47 H48 K48 H49 K49 H50 K50 H51 K51 H52 K52 H53 K53 H54 K54" xr:uid="{D6FB88EE-1FEF-4A70-82C7-1018659FBF7F}">
      <formula1>$DJ$1:$DJ$2</formula1>
    </dataValidation>
    <dataValidation type="list" allowBlank="1" showInputMessage="1" showErrorMessage="1" sqref="I47 L47 I48 L48 I49 L49 I50 L50 I51 L51 I52 L52 I53 L53 I54 L54" xr:uid="{05F949FC-4A8F-41AC-BE70-BE89240A7D7C}">
      <formula1>$DK$1:$DK$2</formula1>
    </dataValidation>
    <dataValidation type="list" allowBlank="1" showInputMessage="1" showErrorMessage="1" sqref="B8" xr:uid="{90FCFE1A-21FF-48AD-A1C8-00979B62D80F}">
      <formula1>$CB$1:$CB$2</formula1>
    </dataValidation>
    <dataValidation type="list" allowBlank="1" showInputMessage="1" showErrorMessage="1" sqref="B5" xr:uid="{42CAD66D-FEDD-4198-8B37-A94025C4FAD0}">
      <formula1>$CC$1:$CC$2</formula1>
    </dataValidation>
    <dataValidation type="list" allowBlank="1" showInputMessage="1" showErrorMessage="1" sqref="B9" xr:uid="{E94C1A8E-DF3D-49B2-B063-1F81A100495A}">
      <formula1>$CD$1:$CD$3</formula1>
    </dataValidation>
    <dataValidation type="list" allowBlank="1" showInputMessage="1" showErrorMessage="1" sqref="B21" xr:uid="{3D61A21F-7F06-4B1E-81A1-CF18FA057A0D}">
      <formula1>$CE$1:$CE$2</formula1>
    </dataValidation>
    <dataValidation type="list" allowBlank="1" showInputMessage="1" showErrorMessage="1" sqref="B26" xr:uid="{03FB4325-79B8-4CEA-9F8C-45A8B89BC891}">
      <formula1>$CF$1:$CF$2</formula1>
    </dataValidation>
    <dataValidation type="list" allowBlank="1" showInputMessage="1" showErrorMessage="1" sqref="B48" xr:uid="{C1C4E116-71D0-4A64-8591-592F505B2363}">
      <formula1>$CG$1:$CG$2</formula1>
    </dataValidation>
    <dataValidation type="list" allowBlank="1" showInputMessage="1" showErrorMessage="1" sqref="B33" xr:uid="{FB454DA0-04BB-4A12-8769-E88E185C364D}">
      <formula1>$CH$1:$CH$2</formula1>
    </dataValidation>
    <dataValidation type="list" allowBlank="1" showInputMessage="1" showErrorMessage="1" sqref="B49" xr:uid="{8115BDED-03E8-4020-B75A-9B76761303D9}">
      <formula1>$CI$1:$CI$2</formula1>
    </dataValidation>
    <dataValidation type="list" allowBlank="1" showInputMessage="1" showErrorMessage="1" sqref="B50" xr:uid="{A452C8CD-EA0F-458C-8D86-3D13E522C107}">
      <formula1>$CJ$1:$CJ$3</formula1>
    </dataValidation>
    <dataValidation type="list" allowBlank="1" showInputMessage="1" showErrorMessage="1" sqref="B39" xr:uid="{FA5733FE-9409-40CB-845D-987ED8E1E7F9}">
      <formula1>$CK$1:$CK$2</formula1>
    </dataValidation>
    <dataValidation type="list" allowBlank="1" showInputMessage="1" showErrorMessage="1" sqref="B60" xr:uid="{8E6521D9-3512-418D-8121-2E34F62DECB0}">
      <formula1>$CL$1:$CL$2</formula1>
    </dataValidation>
    <dataValidation type="list" allowBlank="1" showInputMessage="1" showErrorMessage="1" sqref="B62" xr:uid="{769FE981-A4E4-4460-A958-F3D24BD57AF8}">
      <formula1>$CM$1:$CM$2</formula1>
    </dataValidation>
    <dataValidation type="list" allowBlank="1" showInputMessage="1" showErrorMessage="1" sqref="B63" xr:uid="{A8F1E8FB-76F1-473A-B4A5-03EA62954CC6}">
      <formula1>$CN$1:$CN$2</formula1>
    </dataValidation>
    <dataValidation type="list" allowBlank="1" showInputMessage="1" showErrorMessage="1" sqref="B70" xr:uid="{43707BAC-7190-44D1-9368-2EBBF132F27E}">
      <formula1>$CO$1:$CO$2</formula1>
    </dataValidation>
    <dataValidation type="list" allowBlank="1" showInputMessage="1" showErrorMessage="1" sqref="B71" xr:uid="{69EFED1C-90BF-4DA7-9321-81BEC3AF4E8E}">
      <formula1>$CP$1:$CP$2</formula1>
    </dataValidation>
    <dataValidation type="list" allowBlank="1" showInputMessage="1" showErrorMessage="1" sqref="B67" xr:uid="{FEDAD328-F467-4A0C-A344-E2C0A1EFE1EE}">
      <formula1>$CQ$1:$CQ$2</formula1>
    </dataValidation>
    <dataValidation type="list" allowBlank="1" showInputMessage="1" showErrorMessage="1" sqref="B68" xr:uid="{D8BEE16B-7610-4A8A-A5FF-201605DE066D}">
      <formula1>$CR$1:$CR$2</formula1>
    </dataValidation>
    <dataValidation type="list" allowBlank="1" showInputMessage="1" showErrorMessage="1" sqref="B69" xr:uid="{2E805881-7A4A-46D1-A75F-083A67A93B05}">
      <formula1>$CS$1:$CS$2</formula1>
    </dataValidation>
    <dataValidation type="list" allowBlank="1" showInputMessage="1" showErrorMessage="1" sqref="B90" xr:uid="{21528228-CAFB-416E-8DAE-C04D8F2E13BF}">
      <formula1>$CT$1:$CT$2</formula1>
    </dataValidation>
    <dataValidation type="list" allowBlank="1" showInputMessage="1" showErrorMessage="1" sqref="B91" xr:uid="{2FB295B6-03A0-446D-A114-306B02B06F27}">
      <formula1>$CU$1:$CU$2</formula1>
    </dataValidation>
    <dataValidation type="list" allowBlank="1" showInputMessage="1" showErrorMessage="1" sqref="B93" xr:uid="{94FB37ED-EB83-4E9B-AD9B-9C14D982A4E2}">
      <formula1>$CV$1:$CV$2</formula1>
    </dataValidation>
    <dataValidation type="list" allowBlank="1" showInputMessage="1" showErrorMessage="1" sqref="B94" xr:uid="{23F3112A-2AF1-4B74-A4C1-F1BB37B47B44}">
      <formula1>$CW$1:$CW$2</formula1>
    </dataValidation>
    <dataValidation type="list" allowBlank="1" showInputMessage="1" showErrorMessage="1" sqref="B95" xr:uid="{3AC8E77D-4261-45F1-AEA5-5DD51FF70520}">
      <formula1>$CX$1:$CX$2</formula1>
    </dataValidation>
    <dataValidation type="list" allowBlank="1" showInputMessage="1" showErrorMessage="1" sqref="B98" xr:uid="{070AD839-4C88-4331-9437-400568170E28}">
      <formula1>$CY$1:$CY$2</formula1>
    </dataValidation>
    <dataValidation type="list" allowBlank="1" showInputMessage="1" showErrorMessage="1" sqref="B99" xr:uid="{75F5FC97-9AA2-4EF9-A426-17B67E226DA9}">
      <formula1>$CZ$1:$CZ$2</formula1>
    </dataValidation>
    <dataValidation type="list" allowBlank="1" showInputMessage="1" showErrorMessage="1" sqref="B100" xr:uid="{0024744C-2BDA-49F4-B500-E74B4A56E85E}">
      <formula1>$DA$1:$DA$2</formula1>
    </dataValidation>
    <dataValidation type="list" allowBlank="1" showInputMessage="1" showErrorMessage="1" sqref="B101" xr:uid="{57B4280D-85B6-4C24-993F-2BBDC5689428}">
      <formula1>$DB$1:$DB$2</formula1>
    </dataValidation>
    <dataValidation type="list" allowBlank="1" showInputMessage="1" showErrorMessage="1" sqref="B102" xr:uid="{44EE1770-A2AA-4DCE-A31C-3FE79E7FC3B2}">
      <formula1>$DC$1:$DC$2</formula1>
    </dataValidation>
    <dataValidation type="list" allowBlank="1" showInputMessage="1" showErrorMessage="1" sqref="B103" xr:uid="{CEA303C6-381F-465E-9B57-7C228711F61B}">
      <formula1>$DD$1:$DD$2</formula1>
    </dataValidation>
    <dataValidation type="list" showInputMessage="1" showErrorMessage="1" sqref="B66" xr:uid="{B9A5D1F8-60E6-43B2-A742-CEE0DF585831}">
      <formula1>$DE$1:$DE$21</formula1>
    </dataValidation>
    <dataValidation type="list" showInputMessage="1" showErrorMessage="1" sqref="B92" xr:uid="{B206BD0F-1EFE-44CD-9282-753E79D8082F}">
      <formula1>$DE$1:$DE$21</formula1>
    </dataValidation>
    <dataValidation type="list" showInputMessage="1" showErrorMessage="1" sqref="Q57" xr:uid="{C4E11CE4-8714-417B-9046-808962148260}">
      <formula1>$DF$1:$DF$2</formula1>
    </dataValidation>
    <dataValidation type="list" showInputMessage="1" showErrorMessage="1" sqref="R57" xr:uid="{9CA58453-697A-4222-8BFF-0AC4DA899DEC}">
      <formula1>$DF$1:$DF$2</formula1>
    </dataValidation>
    <dataValidation type="list" showInputMessage="1" showErrorMessage="1" sqref="Q58" xr:uid="{1F49B0C3-8DC3-4829-BF1E-51D329B572A0}">
      <formula1>$DG$1:$DG$2</formula1>
    </dataValidation>
    <dataValidation type="list" showInputMessage="1" showErrorMessage="1" sqref="R58" xr:uid="{02EF64B2-F98F-4764-A77B-AD112A8AA998}">
      <formula1>$DG$1:$DG$2</formula1>
    </dataValidation>
    <dataValidation type="list" showInputMessage="1" showErrorMessage="1" sqref="Q60" xr:uid="{C61E5CBC-A4E1-4FC6-9856-4896FE02F775}">
      <formula1>$DF$1:$DF$2</formula1>
    </dataValidation>
    <dataValidation type="list" showInputMessage="1" showErrorMessage="1" sqref="R65" xr:uid="{9F75BD2F-FDE9-40BE-B973-2341EA1C6064}">
      <formula1>$DH$1:$DH$5</formula1>
    </dataValidation>
    <dataValidation type="list" showInputMessage="1" showErrorMessage="1" sqref="R66" xr:uid="{685D2B06-B2E3-4A2E-8C85-90A6842DE320}">
      <formula1>$DI$1:$DI$3</formula1>
    </dataValidation>
  </dataValidations>
  <hyperlinks>
    <hyperlink ref="E5" location="'Инструкции'!A63" display="Подробнее" xr:uid="{426E8453-AAE9-4956-8CA9-AA03F9F98E6A}"/>
    <hyperlink ref="E8" location="'Инструкции'!A71" display="Подробнее" xr:uid="{390E2B85-119F-4A69-A85D-7BF25CA9226A}"/>
    <hyperlink ref="E9" location="'Инструкции'!A79" display="Подробнее" xr:uid="{A37298C0-9D34-4344-B824-9A3D6D4DB0CB}"/>
    <hyperlink ref="E10" location="'Инструкции'!A85" display="Подробнее" xr:uid="{2A88BD2D-3A17-4655-8E40-5DC0832E8287}"/>
    <hyperlink ref="E11" location="'Инструкции'!A93" display="Подробнее" xr:uid="{F35A4922-61C5-439D-89E5-B07CA53B82DF}"/>
    <hyperlink ref="E12" location="'Инструкции'!A100" display="Подробнее" xr:uid="{B2B087F9-52F4-4C53-AF49-30AA3A1211B7}"/>
    <hyperlink ref="E13" location="'Инструкции'!A108" display="Подробнее" xr:uid="{366CF829-B241-4053-82BA-7C33B1E91744}"/>
    <hyperlink ref="E16" location="'Инструкции'!A116" display="Подробнее" xr:uid="{96D36B25-6A3F-4B5D-BC72-7DF5A331882A}"/>
    <hyperlink ref="E17" location="'Инструкции'!A123" display="Подробнее" xr:uid="{5A89705E-8DFA-4E89-800B-65C6CA30B740}"/>
    <hyperlink ref="E18" location="'Инструкции'!A130" display="Подробнее" xr:uid="{4AC30544-A3EF-4ABA-84FF-100E316A9AEB}"/>
    <hyperlink ref="E19" location="'Инструкции'!A137" display="Подробнее" xr:uid="{87DEE6D5-858E-4824-9DEB-539874EB5F5C}"/>
    <hyperlink ref="E20" location="'Инструкции'!A144" display="Подробнее" xr:uid="{06F701DB-8B06-4B69-B378-3EE4D70EE369}"/>
    <hyperlink ref="E21" location="'Инструкции'!A151" display="Подробнее" xr:uid="{752B7BF8-8BE1-4B9A-B357-B2EA1D136B60}"/>
    <hyperlink ref="E22" location="'Инструкции'!A159" display="Подробнее" xr:uid="{A38A2B3B-8C97-44DF-9449-4F0792992F8A}"/>
    <hyperlink ref="E23" location="'Инструкции'!A166" display="Подробнее" xr:uid="{8A679C9E-D97E-4095-AF21-A4F736550876}"/>
    <hyperlink ref="E26" location="'Инструкции'!A172" display="Подробнее" xr:uid="{8D982247-5C40-4816-9E44-3FD4C6B41631}"/>
    <hyperlink ref="E27" location="'Инструкции'!A181" display="Подробнее" xr:uid="{D0FB6E09-879D-4DC9-BADA-AAA38066F20E}"/>
    <hyperlink ref="E28" location="'Инструкции'!A188" display="Подробнее" xr:uid="{480045B6-934A-45DB-9AE7-7635A80E6F60}"/>
    <hyperlink ref="E29" location="'Инструкции'!A195" display="Подробнее" xr:uid="{D971BA81-D2B8-4004-9036-094F2981C591}"/>
    <hyperlink ref="E30" location="'Инструкции'!A202" display="Подробнее" xr:uid="{78B5C768-6652-42C1-AD75-5001B83DE740}"/>
    <hyperlink ref="E33" location="'Инструкции'!A208" display="Подробнее" xr:uid="{079433EB-71B5-41B7-A7C1-3FCA83DE052E}"/>
    <hyperlink ref="E34" location="'Инструкции'!A214" display="Подробнее" xr:uid="{A43D30B4-3410-4388-BB8A-0972EC5048C3}"/>
    <hyperlink ref="E35" location="'Инструкции'!A220" display="Подробнее" xr:uid="{B91C55D4-65EA-4CC3-9B55-866087BD9FC4}"/>
    <hyperlink ref="E36" location="'Инструкции'!A226" display="Подробнее" xr:uid="{1E6DB069-9CD5-4DCC-894B-EC5FBFFEFE0F}"/>
    <hyperlink ref="E37" location="'Инструкции'!A232" display="Подробнее" xr:uid="{AFDC805B-1167-4693-9F0D-8A67F533E65F}"/>
    <hyperlink ref="E38" location="'Инструкции'!A238" display="Подробнее" xr:uid="{A6DBE399-98A0-4E94-B099-DF196D5D710B}"/>
    <hyperlink ref="E39" location="'Инструкции'!A244" display="Подробнее" xr:uid="{1EB7F791-25B7-442B-B366-E21E1D3F2B17}"/>
    <hyperlink ref="E40" location="'Инструкции'!A250" display="Подробнее" xr:uid="{39E82354-36CF-4A62-B307-41C858B86739}"/>
    <hyperlink ref="E41" location="'Инструкции'!A256" display="Подробнее" xr:uid="{99796424-2CD9-42AA-81B4-7B841E4EC71E}"/>
    <hyperlink ref="E42" location="'Инструкции'!A262" display="Подробнее" xr:uid="{C11E2B59-904B-4F71-8A4B-4F1D246BFF8A}"/>
    <hyperlink ref="E43" location="'Инструкции'!A268" display="Подробнее" xr:uid="{F863A7DE-E6AE-4CF9-8226-98B99E09F45A}"/>
    <hyperlink ref="E44" location="'Инструкции'!A275" display="Подробнее" xr:uid="{0784B9B0-496C-4BE6-989F-1E8E77617FB7}"/>
    <hyperlink ref="E45" location="'Инструкции'!A281" display="Подробнее" xr:uid="{E3A8C478-1E31-4858-80D0-C8AE0F1CF9D4}"/>
    <hyperlink ref="E48" location="'Инструкции'!A287" display="Подробнее" xr:uid="{0C4EA314-D7A9-4105-9D22-15F6FAB4AEF0}"/>
    <hyperlink ref="E49" location="'Инструкции'!A294" display="Подробнее" xr:uid="{E2654C39-C848-4539-8DDF-295B138F4BFD}"/>
    <hyperlink ref="E50" location="'Инструкции'!A303" display="Подробнее" xr:uid="{EB25627A-036D-4AFF-B005-608D162BB1D1}"/>
    <hyperlink ref="E51" location="'Инструкции'!A312" display="Подробнее" xr:uid="{3D4622C1-2A01-461E-A44C-851F9F2154E5}"/>
    <hyperlink ref="E52" location="'Инструкции'!A318" display="Подробнее" xr:uid="{0A94CAAC-6CF9-47F6-98CB-E2FF6BCA5E72}"/>
    <hyperlink ref="E53" location="'Инструкции'!A324" display="Подробнее" xr:uid="{072DEE16-0E8F-433B-887F-2DB9DFB6B56B}"/>
    <hyperlink ref="E54" location="'Инструкции'!A330" display="Подробнее" xr:uid="{6599ADDF-F499-4026-B15F-0245A5EA84A9}"/>
    <hyperlink ref="E55" location="'Инструкции'!A336" display="Подробнее" xr:uid="{0B03789E-A76F-4455-A75D-DA9ABEC8F312}"/>
    <hyperlink ref="E56" location="'Инструкции'!A344" display="Подробнее" xr:uid="{FA07C396-2634-48C4-AFE9-1AAE1A41FCB2}"/>
    <hyperlink ref="E57" location="'Инструкции'!A350" display="Подробнее" xr:uid="{401012E9-5061-483A-9449-6B3B65A6D12B}"/>
    <hyperlink ref="E60" location="'Инструкции'!A358" display="Подробнее" xr:uid="{AC470000-D981-4C21-A082-E559738D3FE3}"/>
    <hyperlink ref="E61" location="'Инструкции'!A365" display="Подробнее" xr:uid="{FCC061FD-11E1-4FCC-A631-CD13C8C6EA88}"/>
    <hyperlink ref="E62" location="'Инструкции'!A373" display="Подробнее" xr:uid="{84FBF202-5F5F-43AF-84DF-0D4DD161057C}"/>
    <hyperlink ref="E63" location="'Инструкции'!A384" display="Подробнее" xr:uid="{23BA4960-0CFB-44AE-A1D0-9C682BA73837}"/>
    <hyperlink ref="E66" location="'Инструкции'!A396" display="Подробнее" xr:uid="{FBBC3140-B554-460A-B43E-FA8D74456B8B}"/>
    <hyperlink ref="E67" location="'Инструкции'!A403" display="Подробнее" xr:uid="{5CD1A488-58A9-49CB-8038-563DF8D06A34}"/>
    <hyperlink ref="E68" location="'Инструкции'!A409" display="Подробнее" xr:uid="{6E00AA2D-D528-4027-BF95-C0939134E223}"/>
    <hyperlink ref="E69" location="'Инструкции'!A415" display="Подробнее" xr:uid="{03923D23-52FA-4CC5-BA4C-6548D521717A}"/>
    <hyperlink ref="E70" location="'Инструкции'!A421" display="Подробнее" xr:uid="{79B68307-C27A-4713-86B0-A53D1BCC7867}"/>
    <hyperlink ref="E71" location="'Инструкции'!A427" display="Подробнее" xr:uid="{B4828388-5D09-4ECD-8F07-C3E7113D7CAF}"/>
    <hyperlink ref="E72" location="'Инструкции'!A433" display="Подробнее" xr:uid="{BC52B149-AFF5-4CF3-924A-0672E5C34CBD}"/>
    <hyperlink ref="E73" location="'Инструкции'!A438" display="Подробнее" xr:uid="{43200931-C635-4F3F-8EF1-5E38FF39648A}"/>
    <hyperlink ref="E74" location="'Инструкции'!A443" display="Подробнее" xr:uid="{C6E4827F-7BC7-4C58-BE5A-063726477F3A}"/>
    <hyperlink ref="E75" location="'Инструкции'!A448" display="Подробнее" xr:uid="{0B4B9E86-3894-4ACF-8E57-78A844D1DDB8}"/>
    <hyperlink ref="E76" location="'Инструкции'!A453" display="Подробнее" xr:uid="{A4BC5D7D-F0D9-4D65-8799-8CD4E3F0590D}"/>
    <hyperlink ref="E77" location="'Инструкции'!A458" display="Подробнее" xr:uid="{E266CCB8-6353-4AE2-886E-071DC80FCE42}"/>
    <hyperlink ref="E78" location="'Инструкции'!A463" display="Подробнее" xr:uid="{D3782C63-4AF8-4A83-A132-9F2EB6D14CC0}"/>
    <hyperlink ref="E79" location="'Инструкции'!A467" display="Подробнее" xr:uid="{0EFA5CEB-CF6A-41CF-9D33-496CF69821CC}"/>
    <hyperlink ref="E80" location="'Инструкции'!A471" display="Подробнее" xr:uid="{6F160BA5-34CE-4E2B-81EE-98562215F260}"/>
    <hyperlink ref="E81" location="'Инструкции'!A475" display="Подробнее" xr:uid="{1B14B0F4-9FA3-4856-8AF5-E3123D8798B3}"/>
    <hyperlink ref="E82" location="'Инструкции'!A479" display="Подробнее" xr:uid="{5DC6D073-E9F3-406B-9BF7-5941C52A7FC7}"/>
    <hyperlink ref="E85" location="'Инструкции'!A483" display="Подробнее" xr:uid="{21E0660E-222D-4F83-B9FA-A68D7FA5B61A}"/>
    <hyperlink ref="E86" location="'Инструкции'!A490" display="Подробнее" xr:uid="{46C7109A-99F2-4444-8997-C15E9A9BBADD}"/>
    <hyperlink ref="E87" location="'Инструкции'!A496" display="Подробнее" xr:uid="{138BDE27-0F98-46BC-A0E2-939076A91958}"/>
    <hyperlink ref="E90" location="'Инструкции'!A502" display="Подробнее" xr:uid="{0F5D119A-D23B-42AC-AD34-044938B8B1E6}"/>
    <hyperlink ref="E91" location="'Инструкции'!A507" display="Подробнее" xr:uid="{0C91FDE4-79DF-439A-A892-6833827DEFA4}"/>
    <hyperlink ref="E92" location="'Инструкции'!A513" display="Подробнее" xr:uid="{B068B6B2-4DB1-49AA-BA7D-1BD6EC44BA61}"/>
    <hyperlink ref="E93" location="'Инструкции'!A519" display="Подробнее" xr:uid="{7BFFBBBE-1AA9-46B2-B1D9-74B3E1C45F89}"/>
    <hyperlink ref="E94" location="'Инструкции'!A525" display="Подробнее" xr:uid="{8B535720-9E7E-4955-8E91-D09A0DA0B209}"/>
    <hyperlink ref="E95" location="'Инструкции'!A531" display="Подробнее" xr:uid="{39F20D83-B906-470E-94AC-E8CBB33CE140}"/>
    <hyperlink ref="E96" location="'Инструкции'!A537" display="Подробнее" xr:uid="{5A063CDF-46FC-4AE8-81E3-81BFDA15B458}"/>
    <hyperlink ref="E97" location="'Инструкции'!A543" display="Подробнее" xr:uid="{94B7A263-97C3-4EC6-87FA-BA5281DBD513}"/>
    <hyperlink ref="E98" location="'Инструкции'!A548" display="Подробнее" xr:uid="{6A35C8F8-22E7-4BD1-B786-6117D67E2BEC}"/>
    <hyperlink ref="E99" location="'Инструкции'!A553" display="Подробнее" xr:uid="{47393EA7-B5C2-4A94-AD82-1D513406E3A2}"/>
    <hyperlink ref="E100" location="'Инструкции'!A558" display="Подробнее" xr:uid="{BC8CC866-D855-4EEA-AF53-C9C31BA0CF53}"/>
    <hyperlink ref="E101" location="'Инструкции'!A563" display="Подробнее" xr:uid="{A96B308E-294F-436D-8BCF-1A28564C4F78}"/>
    <hyperlink ref="E102" location="'Инструкции'!A568" display="Подробнее" xr:uid="{6C7227A7-9045-499C-B6CB-4EDE98F7F771}"/>
    <hyperlink ref="E103" location="'Инструкции'!A573" display="Подробнее" xr:uid="{46C4703C-01E0-4E45-95BE-9853C9127F8D}"/>
    <hyperlink ref="E104" location="'Инструкции'!A579" display="Подробнее" xr:uid="{7A5F4705-830E-4CCF-A16E-40BD4F553D48}"/>
    <hyperlink ref="E105" location="'Инструкции'!A585" display="Подробнее" xr:uid="{73B0BFBE-6541-4861-931D-7E3DF9AA0DD5}"/>
    <hyperlink ref="E106" location="'Инструкции'!A591" display="Подробнее" xr:uid="{A895979E-46E6-43CE-8A26-D27DB96FC2DE}"/>
    <hyperlink ref="E107" location="'Инструкции'!A597" display="Подробнее" xr:uid="{4D200809-2165-45C9-BEA3-FFCED6A25C92}"/>
    <hyperlink ref="R2" location="'Инструкции'!A10" display="Подробнее" xr:uid="{A2EC913A-27B6-4501-990E-202EB46E7D57}"/>
    <hyperlink ref="J17" location="'Инструкции'!A603" display="Подробнее" xr:uid="{121C699E-B3C5-4AB0-B51B-32A5EC427744}"/>
    <hyperlink ref="U17" location="'Инструкции'!A652" display="Подробнее" xr:uid="{B72024B6-D884-4211-B207-98035562A370}"/>
    <hyperlink ref="J18" location="'Инструкции'!A609" display="Подробнее" xr:uid="{92F3BC70-F2CC-48CC-9C4C-04D4F3A57965}"/>
    <hyperlink ref="U18" location="'Инструкции'!A660" display="Подробнее" xr:uid="{0DBA5531-09E7-4896-80F3-EF43D4228BD9}"/>
    <hyperlink ref="J19" location="'Инструкции'!A615" display="Подробнее" xr:uid="{1C443459-2C01-4383-8F94-F009BF8F50FA}"/>
    <hyperlink ref="U19" location="'Инструкции'!A668" display="Подробнее" xr:uid="{56E77CD3-9072-4389-AF5E-88DA1A82AD6E}"/>
    <hyperlink ref="J20" location="'Инструкции'!A621" display="Подробнее" xr:uid="{2655D8DA-F577-4FC0-8CDF-1EC2FE7B61CA}"/>
    <hyperlink ref="U20" location="'Инструкции'!A676" display="Подробнее" xr:uid="{8BB7FA02-6725-4AF2-A64F-755A96CC3133}"/>
    <hyperlink ref="U21" location="'Инструкции'!A684" display="Подробнее" xr:uid="{BA2CD28B-010E-48E4-B39E-0BB88C5D2E3F}"/>
    <hyperlink ref="J22" location="'Инструкции'!A627" display="Подробнее" xr:uid="{E1F660F4-8653-48D8-9205-DA460B0E19B2}"/>
    <hyperlink ref="U22" location="'Инструкции'!A692" display="Подробнее" xr:uid="{C32C65D2-1066-4767-846D-67E4EAF83CE3}"/>
    <hyperlink ref="J23" location="'Инструкции'!A633" display="Подробнее" xr:uid="{F4C27713-8C9C-4A01-81F9-C1A63C25578E}"/>
    <hyperlink ref="J24" location="'Инструкции'!A639" display="Подробнее" xr:uid="{D08BA6C1-B257-476F-ACC1-194E2C893B96}"/>
    <hyperlink ref="J25" location="'Инструкции'!A646" display="Подробнее" xr:uid="{D4AEF8C5-0C34-4FA4-80AF-BAFC3C0DC23A}"/>
    <hyperlink ref="F2" location="'Инструкции'!A29" display="Точки диаграммы бетона (Подробнее)" xr:uid="{612FBE12-BC9F-43F2-8A81-00D992561380}"/>
    <hyperlink ref="J2" location="'Инструкции'!A38" display="Точки диаграммы арматуры (Подробнее)" xr:uid="{D4C541FC-BCD9-414D-978C-7615C3B04339}"/>
    <hyperlink ref="N2" location="'Инструкции'!A10" display="Units (Подробнее)" xr:uid="{C07AE793-4A0F-4E3C-A7DB-C5DC7BBA2A95}"/>
    <hyperlink ref="N12" location="'Инструкции'!A20" display="Sign convention (Подробнее)" xr:uid="{77B65D92-E0BD-40F8-9008-3153DD112297}"/>
    <hyperlink ref="F30" location="'Инструкции'!A53" display="ГЕОМЕТРИЯ (Подробнее)" xr:uid="{97B52FDF-A9BA-4A1F-A856-9ED5D08452D8}"/>
    <hyperlink ref="P55" location="'Инструкции'!A45" display="[Аннотации схемы] (Подробнее)" xr:uid="{EBF28335-C177-4119-B8E5-F97C78089F4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F2FE1-3DBA-4004-95AF-708041D11D7A}">
  <sheetPr codeName="Лист2"/>
  <dimension ref="A1:B700"/>
  <sheetViews>
    <sheetView workbookViewId="0"/>
  </sheetViews>
  <sheetFormatPr defaultRowHeight="12.75" x14ac:dyDescent="0.2"/>
  <cols>
    <col min="1" max="1" width="34.7109375" style="19" customWidth="1"/>
    <col min="2" max="2" width="118.7109375" style="19" customWidth="1"/>
    <col min="3" max="16384" width="9.140625" style="18"/>
  </cols>
  <sheetData>
    <row r="1" spans="1:2" ht="40.5" x14ac:dyDescent="0.2">
      <c r="A1" s="20" t="s">
        <v>408</v>
      </c>
      <c r="B1" s="21"/>
    </row>
    <row r="2" spans="1:2" x14ac:dyDescent="0.2">
      <c r="A2" s="21"/>
      <c r="B2" s="21"/>
    </row>
    <row r="3" spans="1:2" x14ac:dyDescent="0.2">
      <c r="A3" s="22" t="s">
        <v>409</v>
      </c>
      <c r="B3" s="21"/>
    </row>
    <row r="4" spans="1:2" ht="25.5" x14ac:dyDescent="0.2">
      <c r="A4" s="21" t="s">
        <v>410</v>
      </c>
      <c r="B4" s="21" t="s">
        <v>411</v>
      </c>
    </row>
    <row r="5" spans="1:2" ht="25.5" x14ac:dyDescent="0.2">
      <c r="A5" s="21" t="s">
        <v>412</v>
      </c>
      <c r="B5" s="21" t="s">
        <v>413</v>
      </c>
    </row>
    <row r="6" spans="1:2" x14ac:dyDescent="0.2">
      <c r="A6" s="21"/>
      <c r="B6" s="21"/>
    </row>
    <row r="7" spans="1:2" ht="25.5" x14ac:dyDescent="0.2">
      <c r="A7" s="21" t="s">
        <v>414</v>
      </c>
      <c r="B7" s="21" t="s">
        <v>415</v>
      </c>
    </row>
    <row r="8" spans="1:2" x14ac:dyDescent="0.2">
      <c r="A8" s="21"/>
      <c r="B8" s="21"/>
    </row>
    <row r="9" spans="1:2" x14ac:dyDescent="0.2">
      <c r="A9" s="21"/>
      <c r="B9" s="21"/>
    </row>
    <row r="10" spans="1:2" x14ac:dyDescent="0.2">
      <c r="A10" s="23" t="s">
        <v>416</v>
      </c>
      <c r="B10" s="24"/>
    </row>
    <row r="11" spans="1:2" ht="25.5" x14ac:dyDescent="0.2">
      <c r="A11" s="21">
        <v>1</v>
      </c>
      <c r="B11" s="25" t="s">
        <v>417</v>
      </c>
    </row>
    <row r="12" spans="1:2" x14ac:dyDescent="0.2">
      <c r="A12" s="21">
        <v>2</v>
      </c>
      <c r="B12" s="25" t="s">
        <v>418</v>
      </c>
    </row>
    <row r="13" spans="1:2" ht="87.75" x14ac:dyDescent="0.2">
      <c r="A13" s="21">
        <v>3</v>
      </c>
      <c r="B13" s="26" t="s">
        <v>419</v>
      </c>
    </row>
    <row r="14" spans="1:2" ht="87.75" x14ac:dyDescent="0.2">
      <c r="A14" s="21">
        <v>4</v>
      </c>
      <c r="B14" s="26" t="s">
        <v>420</v>
      </c>
    </row>
    <row r="15" spans="1:2" x14ac:dyDescent="0.2">
      <c r="A15" s="21">
        <v>5</v>
      </c>
      <c r="B15" s="25" t="s">
        <v>421</v>
      </c>
    </row>
    <row r="16" spans="1:2" x14ac:dyDescent="0.2">
      <c r="A16" s="21">
        <v>6</v>
      </c>
      <c r="B16" s="25" t="s">
        <v>422</v>
      </c>
    </row>
    <row r="17" spans="1:2" ht="25.5" x14ac:dyDescent="0.2">
      <c r="A17" s="21">
        <v>7</v>
      </c>
      <c r="B17" s="25" t="s">
        <v>423</v>
      </c>
    </row>
    <row r="18" spans="1:2" ht="25.5" x14ac:dyDescent="0.2">
      <c r="A18" s="21">
        <v>8</v>
      </c>
      <c r="B18" s="25" t="s">
        <v>424</v>
      </c>
    </row>
    <row r="19" spans="1:2" x14ac:dyDescent="0.2">
      <c r="A19" s="21"/>
      <c r="B19" s="21"/>
    </row>
    <row r="20" spans="1:2" x14ac:dyDescent="0.2">
      <c r="A20" s="23" t="s">
        <v>425</v>
      </c>
      <c r="B20" s="24"/>
    </row>
    <row r="21" spans="1:2" x14ac:dyDescent="0.2">
      <c r="A21" s="21">
        <v>1</v>
      </c>
      <c r="B21" s="25" t="s">
        <v>426</v>
      </c>
    </row>
    <row r="22" spans="1:2" x14ac:dyDescent="0.2">
      <c r="A22" s="21">
        <v>2</v>
      </c>
      <c r="B22" s="25" t="s">
        <v>427</v>
      </c>
    </row>
    <row r="23" spans="1:2" ht="87.75" x14ac:dyDescent="0.2">
      <c r="A23" s="21">
        <v>3</v>
      </c>
      <c r="B23" s="26" t="s">
        <v>428</v>
      </c>
    </row>
    <row r="24" spans="1:2" ht="25.5" x14ac:dyDescent="0.2">
      <c r="A24" s="21">
        <v>4</v>
      </c>
      <c r="B24" s="25" t="s">
        <v>429</v>
      </c>
    </row>
    <row r="25" spans="1:2" ht="25.5" x14ac:dyDescent="0.2">
      <c r="A25" s="21">
        <v>5</v>
      </c>
      <c r="B25" s="25" t="s">
        <v>430</v>
      </c>
    </row>
    <row r="26" spans="1:2" ht="25.5" x14ac:dyDescent="0.2">
      <c r="A26" s="21">
        <v>6</v>
      </c>
      <c r="B26" s="25" t="s">
        <v>431</v>
      </c>
    </row>
    <row r="27" spans="1:2" ht="38.25" x14ac:dyDescent="0.2">
      <c r="A27" s="21">
        <v>7</v>
      </c>
      <c r="B27" s="25" t="s">
        <v>432</v>
      </c>
    </row>
    <row r="28" spans="1:2" x14ac:dyDescent="0.2">
      <c r="A28" s="21"/>
      <c r="B28" s="21"/>
    </row>
    <row r="29" spans="1:2" x14ac:dyDescent="0.2">
      <c r="A29" s="23" t="s">
        <v>236</v>
      </c>
      <c r="B29" s="24"/>
    </row>
    <row r="30" spans="1:2" ht="25.5" x14ac:dyDescent="0.2">
      <c r="A30" s="21">
        <v>1</v>
      </c>
      <c r="B30" s="25" t="s">
        <v>433</v>
      </c>
    </row>
    <row r="31" spans="1:2" ht="25.5" x14ac:dyDescent="0.2">
      <c r="A31" s="21">
        <v>2</v>
      </c>
      <c r="B31" s="25" t="s">
        <v>434</v>
      </c>
    </row>
    <row r="32" spans="1:2" ht="87.75" x14ac:dyDescent="0.2">
      <c r="A32" s="21">
        <v>3</v>
      </c>
      <c r="B32" s="26" t="s">
        <v>435</v>
      </c>
    </row>
    <row r="33" spans="1:2" x14ac:dyDescent="0.2">
      <c r="A33" s="21">
        <v>4</v>
      </c>
      <c r="B33" s="25" t="s">
        <v>436</v>
      </c>
    </row>
    <row r="34" spans="1:2" ht="25.5" x14ac:dyDescent="0.2">
      <c r="A34" s="21">
        <v>5</v>
      </c>
      <c r="B34" s="25" t="s">
        <v>437</v>
      </c>
    </row>
    <row r="35" spans="1:2" ht="25.5" x14ac:dyDescent="0.2">
      <c r="A35" s="21">
        <v>6</v>
      </c>
      <c r="B35" s="25" t="s">
        <v>438</v>
      </c>
    </row>
    <row r="36" spans="1:2" ht="25.5" x14ac:dyDescent="0.2">
      <c r="A36" s="21">
        <v>7</v>
      </c>
      <c r="B36" s="25" t="s">
        <v>439</v>
      </c>
    </row>
    <row r="37" spans="1:2" x14ac:dyDescent="0.2">
      <c r="A37" s="21"/>
      <c r="B37" s="21"/>
    </row>
    <row r="38" spans="1:2" x14ac:dyDescent="0.2">
      <c r="A38" s="23" t="s">
        <v>239</v>
      </c>
      <c r="B38" s="24"/>
    </row>
    <row r="39" spans="1:2" x14ac:dyDescent="0.2">
      <c r="A39" s="21">
        <v>1</v>
      </c>
      <c r="B39" s="25" t="s">
        <v>440</v>
      </c>
    </row>
    <row r="40" spans="1:2" ht="25.5" x14ac:dyDescent="0.2">
      <c r="A40" s="21">
        <v>2</v>
      </c>
      <c r="B40" s="25" t="s">
        <v>441</v>
      </c>
    </row>
    <row r="41" spans="1:2" ht="87.75" x14ac:dyDescent="0.2">
      <c r="A41" s="21">
        <v>3</v>
      </c>
      <c r="B41" s="26" t="s">
        <v>435</v>
      </c>
    </row>
    <row r="42" spans="1:2" ht="25.5" x14ac:dyDescent="0.2">
      <c r="A42" s="21">
        <v>4</v>
      </c>
      <c r="B42" s="25" t="s">
        <v>442</v>
      </c>
    </row>
    <row r="43" spans="1:2" ht="25.5" x14ac:dyDescent="0.2">
      <c r="A43" s="21">
        <v>5</v>
      </c>
      <c r="B43" s="25" t="s">
        <v>443</v>
      </c>
    </row>
    <row r="44" spans="1:2" x14ac:dyDescent="0.2">
      <c r="A44" s="21"/>
      <c r="B44" s="21"/>
    </row>
    <row r="45" spans="1:2" x14ac:dyDescent="0.2">
      <c r="A45" s="23" t="s">
        <v>444</v>
      </c>
      <c r="B45" s="24"/>
    </row>
    <row r="46" spans="1:2" ht="25.5" x14ac:dyDescent="0.2">
      <c r="A46" s="21">
        <v>1</v>
      </c>
      <c r="B46" s="25" t="s">
        <v>445</v>
      </c>
    </row>
    <row r="47" spans="1:2" ht="25.5" x14ac:dyDescent="0.2">
      <c r="A47" s="21">
        <v>2</v>
      </c>
      <c r="B47" s="25" t="s">
        <v>446</v>
      </c>
    </row>
    <row r="48" spans="1:2" ht="25.5" x14ac:dyDescent="0.2">
      <c r="A48" s="21">
        <v>3</v>
      </c>
      <c r="B48" s="25" t="s">
        <v>447</v>
      </c>
    </row>
    <row r="49" spans="1:2" x14ac:dyDescent="0.2">
      <c r="A49" s="21">
        <v>4</v>
      </c>
      <c r="B49" s="25" t="s">
        <v>448</v>
      </c>
    </row>
    <row r="50" spans="1:2" ht="25.5" x14ac:dyDescent="0.2">
      <c r="A50" s="21">
        <v>5</v>
      </c>
      <c r="B50" s="25" t="s">
        <v>449</v>
      </c>
    </row>
    <row r="51" spans="1:2" x14ac:dyDescent="0.2">
      <c r="A51" s="21">
        <v>6</v>
      </c>
      <c r="B51" s="25" t="s">
        <v>450</v>
      </c>
    </row>
    <row r="52" spans="1:2" x14ac:dyDescent="0.2">
      <c r="A52" s="21"/>
      <c r="B52" s="21"/>
    </row>
    <row r="53" spans="1:2" x14ac:dyDescent="0.2">
      <c r="A53" s="23" t="s">
        <v>345</v>
      </c>
      <c r="B53" s="24"/>
    </row>
    <row r="54" spans="1:2" ht="25.5" x14ac:dyDescent="0.2">
      <c r="A54" s="21">
        <v>1</v>
      </c>
      <c r="B54" s="25" t="s">
        <v>451</v>
      </c>
    </row>
    <row r="55" spans="1:2" ht="25.5" x14ac:dyDescent="0.2">
      <c r="A55" s="21">
        <v>2</v>
      </c>
      <c r="B55" s="25" t="s">
        <v>452</v>
      </c>
    </row>
    <row r="56" spans="1:2" ht="25.5" x14ac:dyDescent="0.2">
      <c r="A56" s="21">
        <v>3</v>
      </c>
      <c r="B56" s="25" t="s">
        <v>453</v>
      </c>
    </row>
    <row r="57" spans="1:2" ht="87.75" x14ac:dyDescent="0.2">
      <c r="A57" s="21">
        <v>4</v>
      </c>
      <c r="B57" s="26" t="s">
        <v>454</v>
      </c>
    </row>
    <row r="58" spans="1:2" x14ac:dyDescent="0.2">
      <c r="A58" s="21">
        <v>5</v>
      </c>
      <c r="B58" s="25" t="s">
        <v>455</v>
      </c>
    </row>
    <row r="59" spans="1:2" ht="25.5" x14ac:dyDescent="0.2">
      <c r="A59" s="21">
        <v>6</v>
      </c>
      <c r="B59" s="25" t="s">
        <v>456</v>
      </c>
    </row>
    <row r="60" spans="1:2" ht="25.5" x14ac:dyDescent="0.2">
      <c r="A60" s="21">
        <v>7</v>
      </c>
      <c r="B60" s="25" t="s">
        <v>457</v>
      </c>
    </row>
    <row r="61" spans="1:2" ht="25.5" x14ac:dyDescent="0.2">
      <c r="A61" s="21">
        <v>8</v>
      </c>
      <c r="B61" s="25" t="s">
        <v>458</v>
      </c>
    </row>
    <row r="62" spans="1:2" x14ac:dyDescent="0.2">
      <c r="A62" s="21"/>
      <c r="B62" s="21"/>
    </row>
    <row r="63" spans="1:2" x14ac:dyDescent="0.2">
      <c r="A63" s="23" t="s">
        <v>28</v>
      </c>
      <c r="B63" s="24"/>
    </row>
    <row r="64" spans="1:2" ht="25.5" x14ac:dyDescent="0.2">
      <c r="A64" s="21">
        <v>1</v>
      </c>
      <c r="B64" s="25" t="s">
        <v>459</v>
      </c>
    </row>
    <row r="65" spans="1:2" x14ac:dyDescent="0.2">
      <c r="A65" s="21">
        <v>2</v>
      </c>
      <c r="B65" s="25" t="s">
        <v>460</v>
      </c>
    </row>
    <row r="66" spans="1:2" ht="25.5" x14ac:dyDescent="0.2">
      <c r="A66" s="21">
        <v>3</v>
      </c>
      <c r="B66" s="25" t="s">
        <v>461</v>
      </c>
    </row>
    <row r="67" spans="1:2" ht="38.25" x14ac:dyDescent="0.2">
      <c r="A67" s="21">
        <v>4</v>
      </c>
      <c r="B67" s="25" t="s">
        <v>462</v>
      </c>
    </row>
    <row r="68" spans="1:2" ht="38.25" x14ac:dyDescent="0.2">
      <c r="A68" s="21">
        <v>5</v>
      </c>
      <c r="B68" s="25" t="s">
        <v>463</v>
      </c>
    </row>
    <row r="69" spans="1:2" x14ac:dyDescent="0.2">
      <c r="A69" s="21">
        <v>6</v>
      </c>
      <c r="B69" s="25" t="s">
        <v>464</v>
      </c>
    </row>
    <row r="70" spans="1:2" x14ac:dyDescent="0.2">
      <c r="A70" s="21"/>
      <c r="B70" s="21"/>
    </row>
    <row r="71" spans="1:2" x14ac:dyDescent="0.2">
      <c r="A71" s="23" t="s">
        <v>32</v>
      </c>
      <c r="B71" s="24"/>
    </row>
    <row r="72" spans="1:2" ht="25.5" x14ac:dyDescent="0.2">
      <c r="A72" s="21">
        <v>1</v>
      </c>
      <c r="B72" s="25" t="s">
        <v>465</v>
      </c>
    </row>
    <row r="73" spans="1:2" ht="25.5" x14ac:dyDescent="0.2">
      <c r="A73" s="21">
        <v>2</v>
      </c>
      <c r="B73" s="25" t="s">
        <v>466</v>
      </c>
    </row>
    <row r="74" spans="1:2" ht="38.25" x14ac:dyDescent="0.2">
      <c r="A74" s="21">
        <v>3</v>
      </c>
      <c r="B74" s="25" t="s">
        <v>467</v>
      </c>
    </row>
    <row r="75" spans="1:2" ht="25.5" x14ac:dyDescent="0.2">
      <c r="A75" s="21">
        <v>4</v>
      </c>
      <c r="B75" s="25" t="s">
        <v>468</v>
      </c>
    </row>
    <row r="76" spans="1:2" ht="38.25" x14ac:dyDescent="0.2">
      <c r="A76" s="21">
        <v>5</v>
      </c>
      <c r="B76" s="25" t="s">
        <v>469</v>
      </c>
    </row>
    <row r="77" spans="1:2" ht="25.5" x14ac:dyDescent="0.2">
      <c r="A77" s="21">
        <v>6</v>
      </c>
      <c r="B77" s="25" t="s">
        <v>470</v>
      </c>
    </row>
    <row r="78" spans="1:2" x14ac:dyDescent="0.2">
      <c r="A78" s="21"/>
      <c r="B78" s="21"/>
    </row>
    <row r="79" spans="1:2" x14ac:dyDescent="0.2">
      <c r="A79" s="23" t="s">
        <v>35</v>
      </c>
      <c r="B79" s="24"/>
    </row>
    <row r="80" spans="1:2" x14ac:dyDescent="0.2">
      <c r="A80" s="21">
        <v>1</v>
      </c>
      <c r="B80" s="25" t="s">
        <v>471</v>
      </c>
    </row>
    <row r="81" spans="1:2" ht="25.5" x14ac:dyDescent="0.2">
      <c r="A81" s="21">
        <v>2</v>
      </c>
      <c r="B81" s="25" t="s">
        <v>472</v>
      </c>
    </row>
    <row r="82" spans="1:2" x14ac:dyDescent="0.2">
      <c r="A82" s="21">
        <v>3</v>
      </c>
      <c r="B82" s="25" t="s">
        <v>473</v>
      </c>
    </row>
    <row r="83" spans="1:2" ht="38.25" x14ac:dyDescent="0.2">
      <c r="A83" s="21">
        <v>4</v>
      </c>
      <c r="B83" s="25" t="s">
        <v>474</v>
      </c>
    </row>
    <row r="84" spans="1:2" x14ac:dyDescent="0.2">
      <c r="A84" s="21"/>
      <c r="B84" s="21"/>
    </row>
    <row r="85" spans="1:2" x14ac:dyDescent="0.2">
      <c r="A85" s="23" t="s">
        <v>38</v>
      </c>
      <c r="B85" s="24"/>
    </row>
    <row r="86" spans="1:2" ht="25.5" x14ac:dyDescent="0.2">
      <c r="A86" s="21">
        <v>1</v>
      </c>
      <c r="B86" s="25" t="s">
        <v>475</v>
      </c>
    </row>
    <row r="87" spans="1:2" ht="25.5" x14ac:dyDescent="0.2">
      <c r="A87" s="21">
        <v>2</v>
      </c>
      <c r="B87" s="25" t="s">
        <v>476</v>
      </c>
    </row>
    <row r="88" spans="1:2" ht="25.5" x14ac:dyDescent="0.2">
      <c r="A88" s="21">
        <v>3</v>
      </c>
      <c r="B88" s="25" t="s">
        <v>477</v>
      </c>
    </row>
    <row r="89" spans="1:2" ht="87.75" x14ac:dyDescent="0.2">
      <c r="A89" s="21">
        <v>4</v>
      </c>
      <c r="B89" s="26" t="s">
        <v>478</v>
      </c>
    </row>
    <row r="90" spans="1:2" ht="87.75" x14ac:dyDescent="0.2">
      <c r="A90" s="21">
        <v>5</v>
      </c>
      <c r="B90" s="26" t="s">
        <v>479</v>
      </c>
    </row>
    <row r="91" spans="1:2" ht="25.5" x14ac:dyDescent="0.2">
      <c r="A91" s="21">
        <v>6</v>
      </c>
      <c r="B91" s="25" t="s">
        <v>480</v>
      </c>
    </row>
    <row r="92" spans="1:2" x14ac:dyDescent="0.2">
      <c r="A92" s="21"/>
      <c r="B92" s="21"/>
    </row>
    <row r="93" spans="1:2" x14ac:dyDescent="0.2">
      <c r="A93" s="23" t="s">
        <v>41</v>
      </c>
      <c r="B93" s="24"/>
    </row>
    <row r="94" spans="1:2" ht="25.5" x14ac:dyDescent="0.2">
      <c r="A94" s="21">
        <v>1</v>
      </c>
      <c r="B94" s="25" t="s">
        <v>481</v>
      </c>
    </row>
    <row r="95" spans="1:2" ht="25.5" x14ac:dyDescent="0.2">
      <c r="A95" s="21">
        <v>2</v>
      </c>
      <c r="B95" s="25" t="s">
        <v>482</v>
      </c>
    </row>
    <row r="96" spans="1:2" ht="25.5" x14ac:dyDescent="0.2">
      <c r="A96" s="21">
        <v>3</v>
      </c>
      <c r="B96" s="25" t="s">
        <v>483</v>
      </c>
    </row>
    <row r="97" spans="1:2" ht="25.5" x14ac:dyDescent="0.2">
      <c r="A97" s="21">
        <v>4</v>
      </c>
      <c r="B97" s="25" t="s">
        <v>484</v>
      </c>
    </row>
    <row r="98" spans="1:2" x14ac:dyDescent="0.2">
      <c r="A98" s="21">
        <v>5</v>
      </c>
      <c r="B98" s="25" t="s">
        <v>485</v>
      </c>
    </row>
    <row r="99" spans="1:2" x14ac:dyDescent="0.2">
      <c r="A99" s="21"/>
      <c r="B99" s="21"/>
    </row>
    <row r="100" spans="1:2" x14ac:dyDescent="0.2">
      <c r="A100" s="23" t="s">
        <v>44</v>
      </c>
      <c r="B100" s="24"/>
    </row>
    <row r="101" spans="1:2" ht="25.5" x14ac:dyDescent="0.2">
      <c r="A101" s="21">
        <v>1</v>
      </c>
      <c r="B101" s="25" t="s">
        <v>486</v>
      </c>
    </row>
    <row r="102" spans="1:2" ht="38.25" x14ac:dyDescent="0.2">
      <c r="A102" s="21">
        <v>2</v>
      </c>
      <c r="B102" s="25" t="s">
        <v>487</v>
      </c>
    </row>
    <row r="103" spans="1:2" ht="25.5" x14ac:dyDescent="0.2">
      <c r="A103" s="21">
        <v>3</v>
      </c>
      <c r="B103" s="25" t="s">
        <v>488</v>
      </c>
    </row>
    <row r="104" spans="1:2" ht="25.5" x14ac:dyDescent="0.2">
      <c r="A104" s="21">
        <v>4</v>
      </c>
      <c r="B104" s="25" t="s">
        <v>489</v>
      </c>
    </row>
    <row r="105" spans="1:2" ht="25.5" x14ac:dyDescent="0.2">
      <c r="A105" s="21">
        <v>5</v>
      </c>
      <c r="B105" s="25" t="s">
        <v>490</v>
      </c>
    </row>
    <row r="106" spans="1:2" ht="25.5" x14ac:dyDescent="0.2">
      <c r="A106" s="21">
        <v>6</v>
      </c>
      <c r="B106" s="25" t="s">
        <v>491</v>
      </c>
    </row>
    <row r="107" spans="1:2" x14ac:dyDescent="0.2">
      <c r="A107" s="21"/>
      <c r="B107" s="21"/>
    </row>
    <row r="108" spans="1:2" x14ac:dyDescent="0.2">
      <c r="A108" s="23" t="s">
        <v>46</v>
      </c>
      <c r="B108" s="24"/>
    </row>
    <row r="109" spans="1:2" ht="25.5" x14ac:dyDescent="0.2">
      <c r="A109" s="21">
        <v>1</v>
      </c>
      <c r="B109" s="25" t="s">
        <v>492</v>
      </c>
    </row>
    <row r="110" spans="1:2" ht="38.25" x14ac:dyDescent="0.2">
      <c r="A110" s="21">
        <v>2</v>
      </c>
      <c r="B110" s="25" t="s">
        <v>487</v>
      </c>
    </row>
    <row r="111" spans="1:2" ht="25.5" x14ac:dyDescent="0.2">
      <c r="A111" s="21">
        <v>3</v>
      </c>
      <c r="B111" s="25" t="s">
        <v>488</v>
      </c>
    </row>
    <row r="112" spans="1:2" ht="25.5" x14ac:dyDescent="0.2">
      <c r="A112" s="21">
        <v>4</v>
      </c>
      <c r="B112" s="25" t="s">
        <v>489</v>
      </c>
    </row>
    <row r="113" spans="1:2" ht="25.5" x14ac:dyDescent="0.2">
      <c r="A113" s="21">
        <v>5</v>
      </c>
      <c r="B113" s="25" t="s">
        <v>490</v>
      </c>
    </row>
    <row r="114" spans="1:2" ht="25.5" x14ac:dyDescent="0.2">
      <c r="A114" s="21">
        <v>6</v>
      </c>
      <c r="B114" s="25" t="s">
        <v>491</v>
      </c>
    </row>
    <row r="115" spans="1:2" x14ac:dyDescent="0.2">
      <c r="A115" s="21"/>
      <c r="B115" s="21"/>
    </row>
    <row r="116" spans="1:2" x14ac:dyDescent="0.2">
      <c r="A116" s="23" t="s">
        <v>49</v>
      </c>
      <c r="B116" s="24"/>
    </row>
    <row r="117" spans="1:2" x14ac:dyDescent="0.2">
      <c r="A117" s="21">
        <v>1</v>
      </c>
      <c r="B117" s="25" t="s">
        <v>493</v>
      </c>
    </row>
    <row r="118" spans="1:2" ht="25.5" x14ac:dyDescent="0.2">
      <c r="A118" s="21">
        <v>2</v>
      </c>
      <c r="B118" s="25" t="s">
        <v>494</v>
      </c>
    </row>
    <row r="119" spans="1:2" ht="25.5" x14ac:dyDescent="0.2">
      <c r="A119" s="21">
        <v>3</v>
      </c>
      <c r="B119" s="25" t="s">
        <v>495</v>
      </c>
    </row>
    <row r="120" spans="1:2" ht="25.5" x14ac:dyDescent="0.2">
      <c r="A120" s="21">
        <v>4</v>
      </c>
      <c r="B120" s="25" t="s">
        <v>496</v>
      </c>
    </row>
    <row r="121" spans="1:2" ht="38.25" x14ac:dyDescent="0.2">
      <c r="A121" s="21">
        <v>5</v>
      </c>
      <c r="B121" s="25" t="s">
        <v>497</v>
      </c>
    </row>
    <row r="122" spans="1:2" x14ac:dyDescent="0.2">
      <c r="A122" s="21"/>
      <c r="B122" s="21"/>
    </row>
    <row r="123" spans="1:2" x14ac:dyDescent="0.2">
      <c r="A123" s="23" t="s">
        <v>51</v>
      </c>
      <c r="B123" s="24"/>
    </row>
    <row r="124" spans="1:2" x14ac:dyDescent="0.2">
      <c r="A124" s="21">
        <v>1</v>
      </c>
      <c r="B124" s="25" t="s">
        <v>498</v>
      </c>
    </row>
    <row r="125" spans="1:2" ht="25.5" x14ac:dyDescent="0.2">
      <c r="A125" s="21">
        <v>2</v>
      </c>
      <c r="B125" s="25" t="s">
        <v>494</v>
      </c>
    </row>
    <row r="126" spans="1:2" ht="25.5" x14ac:dyDescent="0.2">
      <c r="A126" s="21">
        <v>3</v>
      </c>
      <c r="B126" s="25" t="s">
        <v>495</v>
      </c>
    </row>
    <row r="127" spans="1:2" ht="25.5" x14ac:dyDescent="0.2">
      <c r="A127" s="21">
        <v>4</v>
      </c>
      <c r="B127" s="25" t="s">
        <v>496</v>
      </c>
    </row>
    <row r="128" spans="1:2" ht="38.25" x14ac:dyDescent="0.2">
      <c r="A128" s="21">
        <v>5</v>
      </c>
      <c r="B128" s="25" t="s">
        <v>497</v>
      </c>
    </row>
    <row r="129" spans="1:2" x14ac:dyDescent="0.2">
      <c r="A129" s="21"/>
      <c r="B129" s="21"/>
    </row>
    <row r="130" spans="1:2" x14ac:dyDescent="0.2">
      <c r="A130" s="23" t="s">
        <v>53</v>
      </c>
      <c r="B130" s="24"/>
    </row>
    <row r="131" spans="1:2" x14ac:dyDescent="0.2">
      <c r="A131" s="21">
        <v>1</v>
      </c>
      <c r="B131" s="25" t="s">
        <v>499</v>
      </c>
    </row>
    <row r="132" spans="1:2" ht="25.5" x14ac:dyDescent="0.2">
      <c r="A132" s="21">
        <v>2</v>
      </c>
      <c r="B132" s="25" t="s">
        <v>494</v>
      </c>
    </row>
    <row r="133" spans="1:2" ht="25.5" x14ac:dyDescent="0.2">
      <c r="A133" s="21">
        <v>3</v>
      </c>
      <c r="B133" s="25" t="s">
        <v>495</v>
      </c>
    </row>
    <row r="134" spans="1:2" ht="25.5" x14ac:dyDescent="0.2">
      <c r="A134" s="21">
        <v>4</v>
      </c>
      <c r="B134" s="25" t="s">
        <v>496</v>
      </c>
    </row>
    <row r="135" spans="1:2" ht="38.25" x14ac:dyDescent="0.2">
      <c r="A135" s="21">
        <v>5</v>
      </c>
      <c r="B135" s="25" t="s">
        <v>497</v>
      </c>
    </row>
    <row r="136" spans="1:2" x14ac:dyDescent="0.2">
      <c r="A136" s="21"/>
      <c r="B136" s="21"/>
    </row>
    <row r="137" spans="1:2" x14ac:dyDescent="0.2">
      <c r="A137" s="23" t="s">
        <v>55</v>
      </c>
      <c r="B137" s="24"/>
    </row>
    <row r="138" spans="1:2" x14ac:dyDescent="0.2">
      <c r="A138" s="21">
        <v>1</v>
      </c>
      <c r="B138" s="25" t="s">
        <v>500</v>
      </c>
    </row>
    <row r="139" spans="1:2" ht="25.5" x14ac:dyDescent="0.2">
      <c r="A139" s="21">
        <v>2</v>
      </c>
      <c r="B139" s="25" t="s">
        <v>494</v>
      </c>
    </row>
    <row r="140" spans="1:2" ht="25.5" x14ac:dyDescent="0.2">
      <c r="A140" s="21">
        <v>3</v>
      </c>
      <c r="B140" s="25" t="s">
        <v>495</v>
      </c>
    </row>
    <row r="141" spans="1:2" ht="25.5" x14ac:dyDescent="0.2">
      <c r="A141" s="21">
        <v>4</v>
      </c>
      <c r="B141" s="25" t="s">
        <v>496</v>
      </c>
    </row>
    <row r="142" spans="1:2" ht="38.25" x14ac:dyDescent="0.2">
      <c r="A142" s="21">
        <v>5</v>
      </c>
      <c r="B142" s="25" t="s">
        <v>497</v>
      </c>
    </row>
    <row r="143" spans="1:2" x14ac:dyDescent="0.2">
      <c r="A143" s="21"/>
      <c r="B143" s="21"/>
    </row>
    <row r="144" spans="1:2" x14ac:dyDescent="0.2">
      <c r="A144" s="23" t="s">
        <v>57</v>
      </c>
      <c r="B144" s="24"/>
    </row>
    <row r="145" spans="1:2" x14ac:dyDescent="0.2">
      <c r="A145" s="21">
        <v>1</v>
      </c>
      <c r="B145" s="25" t="s">
        <v>501</v>
      </c>
    </row>
    <row r="146" spans="1:2" ht="25.5" x14ac:dyDescent="0.2">
      <c r="A146" s="21">
        <v>2</v>
      </c>
      <c r="B146" s="25" t="s">
        <v>494</v>
      </c>
    </row>
    <row r="147" spans="1:2" ht="25.5" x14ac:dyDescent="0.2">
      <c r="A147" s="21">
        <v>3</v>
      </c>
      <c r="B147" s="25" t="s">
        <v>495</v>
      </c>
    </row>
    <row r="148" spans="1:2" ht="25.5" x14ac:dyDescent="0.2">
      <c r="A148" s="21">
        <v>4</v>
      </c>
      <c r="B148" s="25" t="s">
        <v>496</v>
      </c>
    </row>
    <row r="149" spans="1:2" ht="38.25" x14ac:dyDescent="0.2">
      <c r="A149" s="21">
        <v>5</v>
      </c>
      <c r="B149" s="25" t="s">
        <v>497</v>
      </c>
    </row>
    <row r="150" spans="1:2" x14ac:dyDescent="0.2">
      <c r="A150" s="21"/>
      <c r="B150" s="21"/>
    </row>
    <row r="151" spans="1:2" x14ac:dyDescent="0.2">
      <c r="A151" s="23" t="s">
        <v>59</v>
      </c>
      <c r="B151" s="24"/>
    </row>
    <row r="152" spans="1:2" ht="25.5" x14ac:dyDescent="0.2">
      <c r="A152" s="21">
        <v>1</v>
      </c>
      <c r="B152" s="25" t="s">
        <v>502</v>
      </c>
    </row>
    <row r="153" spans="1:2" ht="38.25" x14ac:dyDescent="0.2">
      <c r="A153" s="21">
        <v>2</v>
      </c>
      <c r="B153" s="25" t="s">
        <v>503</v>
      </c>
    </row>
    <row r="154" spans="1:2" ht="25.5" x14ac:dyDescent="0.2">
      <c r="A154" s="21">
        <v>3</v>
      </c>
      <c r="B154" s="25" t="s">
        <v>504</v>
      </c>
    </row>
    <row r="155" spans="1:2" ht="87.75" x14ac:dyDescent="0.2">
      <c r="A155" s="21">
        <v>4</v>
      </c>
      <c r="B155" s="26" t="s">
        <v>505</v>
      </c>
    </row>
    <row r="156" spans="1:2" ht="25.5" x14ac:dyDescent="0.2">
      <c r="A156" s="21">
        <v>5</v>
      </c>
      <c r="B156" s="25" t="s">
        <v>506</v>
      </c>
    </row>
    <row r="157" spans="1:2" ht="25.5" x14ac:dyDescent="0.2">
      <c r="A157" s="21">
        <v>6</v>
      </c>
      <c r="B157" s="25" t="s">
        <v>507</v>
      </c>
    </row>
    <row r="158" spans="1:2" x14ac:dyDescent="0.2">
      <c r="A158" s="21"/>
      <c r="B158" s="21"/>
    </row>
    <row r="159" spans="1:2" x14ac:dyDescent="0.2">
      <c r="A159" s="23" t="s">
        <v>62</v>
      </c>
      <c r="B159" s="24"/>
    </row>
    <row r="160" spans="1:2" ht="25.5" x14ac:dyDescent="0.2">
      <c r="A160" s="21">
        <v>1</v>
      </c>
      <c r="B160" s="25" t="s">
        <v>508</v>
      </c>
    </row>
    <row r="161" spans="1:2" x14ac:dyDescent="0.2">
      <c r="A161" s="21">
        <v>2</v>
      </c>
      <c r="B161" s="25" t="s">
        <v>509</v>
      </c>
    </row>
    <row r="162" spans="1:2" ht="25.5" x14ac:dyDescent="0.2">
      <c r="A162" s="21">
        <v>3</v>
      </c>
      <c r="B162" s="25" t="s">
        <v>510</v>
      </c>
    </row>
    <row r="163" spans="1:2" x14ac:dyDescent="0.2">
      <c r="A163" s="21">
        <v>4</v>
      </c>
      <c r="B163" s="25" t="s">
        <v>511</v>
      </c>
    </row>
    <row r="164" spans="1:2" x14ac:dyDescent="0.2">
      <c r="A164" s="21">
        <v>5</v>
      </c>
      <c r="B164" s="25" t="s">
        <v>512</v>
      </c>
    </row>
    <row r="165" spans="1:2" x14ac:dyDescent="0.2">
      <c r="A165" s="21"/>
      <c r="B165" s="21"/>
    </row>
    <row r="166" spans="1:2" x14ac:dyDescent="0.2">
      <c r="A166" s="23" t="s">
        <v>64</v>
      </c>
      <c r="B166" s="24"/>
    </row>
    <row r="167" spans="1:2" ht="25.5" x14ac:dyDescent="0.2">
      <c r="A167" s="21">
        <v>1</v>
      </c>
      <c r="B167" s="25" t="s">
        <v>513</v>
      </c>
    </row>
    <row r="168" spans="1:2" x14ac:dyDescent="0.2">
      <c r="A168" s="21">
        <v>2</v>
      </c>
      <c r="B168" s="25" t="s">
        <v>514</v>
      </c>
    </row>
    <row r="169" spans="1:2" ht="25.5" x14ac:dyDescent="0.2">
      <c r="A169" s="21">
        <v>3</v>
      </c>
      <c r="B169" s="25" t="s">
        <v>515</v>
      </c>
    </row>
    <row r="170" spans="1:2" x14ac:dyDescent="0.2">
      <c r="A170" s="21">
        <v>4</v>
      </c>
      <c r="B170" s="25" t="s">
        <v>516</v>
      </c>
    </row>
    <row r="171" spans="1:2" x14ac:dyDescent="0.2">
      <c r="A171" s="21"/>
      <c r="B171" s="21"/>
    </row>
    <row r="172" spans="1:2" x14ac:dyDescent="0.2">
      <c r="A172" s="23" t="s">
        <v>67</v>
      </c>
      <c r="B172" s="24"/>
    </row>
    <row r="173" spans="1:2" x14ac:dyDescent="0.2">
      <c r="A173" s="21">
        <v>1</v>
      </c>
      <c r="B173" s="25" t="s">
        <v>517</v>
      </c>
    </row>
    <row r="174" spans="1:2" x14ac:dyDescent="0.2">
      <c r="A174" s="21">
        <v>2</v>
      </c>
      <c r="B174" s="25" t="s">
        <v>518</v>
      </c>
    </row>
    <row r="175" spans="1:2" x14ac:dyDescent="0.2">
      <c r="A175" s="21">
        <v>3</v>
      </c>
      <c r="B175" s="25" t="s">
        <v>519</v>
      </c>
    </row>
    <row r="176" spans="1:2" x14ac:dyDescent="0.2">
      <c r="A176" s="21">
        <v>4</v>
      </c>
      <c r="B176" s="25" t="s">
        <v>520</v>
      </c>
    </row>
    <row r="177" spans="1:2" ht="175.5" x14ac:dyDescent="0.2">
      <c r="A177" s="21">
        <v>5</v>
      </c>
      <c r="B177" s="26" t="s">
        <v>521</v>
      </c>
    </row>
    <row r="178" spans="1:2" ht="25.5" x14ac:dyDescent="0.2">
      <c r="A178" s="21">
        <v>6</v>
      </c>
      <c r="B178" s="25" t="s">
        <v>522</v>
      </c>
    </row>
    <row r="179" spans="1:2" ht="25.5" x14ac:dyDescent="0.2">
      <c r="A179" s="21">
        <v>7</v>
      </c>
      <c r="B179" s="25" t="s">
        <v>523</v>
      </c>
    </row>
    <row r="180" spans="1:2" x14ac:dyDescent="0.2">
      <c r="A180" s="21"/>
      <c r="B180" s="21"/>
    </row>
    <row r="181" spans="1:2" x14ac:dyDescent="0.2">
      <c r="A181" s="23" t="s">
        <v>70</v>
      </c>
      <c r="B181" s="24"/>
    </row>
    <row r="182" spans="1:2" x14ac:dyDescent="0.2">
      <c r="A182" s="21">
        <v>1</v>
      </c>
      <c r="B182" s="25" t="s">
        <v>524</v>
      </c>
    </row>
    <row r="183" spans="1:2" ht="25.5" x14ac:dyDescent="0.2">
      <c r="A183" s="21">
        <v>2</v>
      </c>
      <c r="B183" s="25" t="s">
        <v>525</v>
      </c>
    </row>
    <row r="184" spans="1:2" ht="25.5" x14ac:dyDescent="0.2">
      <c r="A184" s="21">
        <v>3</v>
      </c>
      <c r="B184" s="25" t="s">
        <v>526</v>
      </c>
    </row>
    <row r="185" spans="1:2" ht="25.5" x14ac:dyDescent="0.2">
      <c r="A185" s="21">
        <v>4</v>
      </c>
      <c r="B185" s="25" t="s">
        <v>527</v>
      </c>
    </row>
    <row r="186" spans="1:2" ht="25.5" x14ac:dyDescent="0.2">
      <c r="A186" s="21">
        <v>5</v>
      </c>
      <c r="B186" s="25" t="s">
        <v>528</v>
      </c>
    </row>
    <row r="187" spans="1:2" x14ac:dyDescent="0.2">
      <c r="A187" s="21"/>
      <c r="B187" s="21"/>
    </row>
    <row r="188" spans="1:2" x14ac:dyDescent="0.2">
      <c r="A188" s="23" t="s">
        <v>72</v>
      </c>
      <c r="B188" s="24"/>
    </row>
    <row r="189" spans="1:2" x14ac:dyDescent="0.2">
      <c r="A189" s="21">
        <v>1</v>
      </c>
      <c r="B189" s="25" t="s">
        <v>529</v>
      </c>
    </row>
    <row r="190" spans="1:2" ht="25.5" x14ac:dyDescent="0.2">
      <c r="A190" s="21">
        <v>2</v>
      </c>
      <c r="B190" s="25" t="s">
        <v>525</v>
      </c>
    </row>
    <row r="191" spans="1:2" ht="25.5" x14ac:dyDescent="0.2">
      <c r="A191" s="21">
        <v>3</v>
      </c>
      <c r="B191" s="25" t="s">
        <v>526</v>
      </c>
    </row>
    <row r="192" spans="1:2" ht="25.5" x14ac:dyDescent="0.2">
      <c r="A192" s="21">
        <v>4</v>
      </c>
      <c r="B192" s="25" t="s">
        <v>527</v>
      </c>
    </row>
    <row r="193" spans="1:2" ht="25.5" x14ac:dyDescent="0.2">
      <c r="A193" s="21">
        <v>5</v>
      </c>
      <c r="B193" s="25" t="s">
        <v>528</v>
      </c>
    </row>
    <row r="194" spans="1:2" x14ac:dyDescent="0.2">
      <c r="A194" s="21"/>
      <c r="B194" s="21"/>
    </row>
    <row r="195" spans="1:2" x14ac:dyDescent="0.2">
      <c r="A195" s="23" t="s">
        <v>74</v>
      </c>
      <c r="B195" s="24"/>
    </row>
    <row r="196" spans="1:2" x14ac:dyDescent="0.2">
      <c r="A196" s="21">
        <v>1</v>
      </c>
      <c r="B196" s="25" t="s">
        <v>530</v>
      </c>
    </row>
    <row r="197" spans="1:2" ht="25.5" x14ac:dyDescent="0.2">
      <c r="A197" s="21">
        <v>2</v>
      </c>
      <c r="B197" s="25" t="s">
        <v>525</v>
      </c>
    </row>
    <row r="198" spans="1:2" ht="25.5" x14ac:dyDescent="0.2">
      <c r="A198" s="21">
        <v>3</v>
      </c>
      <c r="B198" s="25" t="s">
        <v>526</v>
      </c>
    </row>
    <row r="199" spans="1:2" ht="25.5" x14ac:dyDescent="0.2">
      <c r="A199" s="21">
        <v>4</v>
      </c>
      <c r="B199" s="25" t="s">
        <v>527</v>
      </c>
    </row>
    <row r="200" spans="1:2" ht="25.5" x14ac:dyDescent="0.2">
      <c r="A200" s="21">
        <v>5</v>
      </c>
      <c r="B200" s="25" t="s">
        <v>528</v>
      </c>
    </row>
    <row r="201" spans="1:2" x14ac:dyDescent="0.2">
      <c r="A201" s="21"/>
      <c r="B201" s="21"/>
    </row>
    <row r="202" spans="1:2" x14ac:dyDescent="0.2">
      <c r="A202" s="23" t="s">
        <v>76</v>
      </c>
      <c r="B202" s="24"/>
    </row>
    <row r="203" spans="1:2" ht="25.5" x14ac:dyDescent="0.2">
      <c r="A203" s="21">
        <v>1</v>
      </c>
      <c r="B203" s="25" t="s">
        <v>531</v>
      </c>
    </row>
    <row r="204" spans="1:2" x14ac:dyDescent="0.2">
      <c r="A204" s="21">
        <v>2</v>
      </c>
      <c r="B204" s="25" t="s">
        <v>532</v>
      </c>
    </row>
    <row r="205" spans="1:2" x14ac:dyDescent="0.2">
      <c r="A205" s="21">
        <v>3</v>
      </c>
      <c r="B205" s="25" t="s">
        <v>533</v>
      </c>
    </row>
    <row r="206" spans="1:2" x14ac:dyDescent="0.2">
      <c r="A206" s="21">
        <v>4</v>
      </c>
      <c r="B206" s="25" t="s">
        <v>534</v>
      </c>
    </row>
    <row r="207" spans="1:2" x14ac:dyDescent="0.2">
      <c r="A207" s="21"/>
      <c r="B207" s="21"/>
    </row>
    <row r="208" spans="1:2" x14ac:dyDescent="0.2">
      <c r="A208" s="23" t="s">
        <v>79</v>
      </c>
      <c r="B208" s="24"/>
    </row>
    <row r="209" spans="1:2" ht="25.5" x14ac:dyDescent="0.2">
      <c r="A209" s="21">
        <v>1</v>
      </c>
      <c r="B209" s="25" t="s">
        <v>535</v>
      </c>
    </row>
    <row r="210" spans="1:2" x14ac:dyDescent="0.2">
      <c r="A210" s="21">
        <v>2</v>
      </c>
      <c r="B210" s="25" t="s">
        <v>536</v>
      </c>
    </row>
    <row r="211" spans="1:2" ht="25.5" x14ac:dyDescent="0.2">
      <c r="A211" s="21">
        <v>3</v>
      </c>
      <c r="B211" s="25" t="s">
        <v>537</v>
      </c>
    </row>
    <row r="212" spans="1:2" x14ac:dyDescent="0.2">
      <c r="A212" s="21">
        <v>4</v>
      </c>
      <c r="B212" s="25" t="s">
        <v>538</v>
      </c>
    </row>
    <row r="213" spans="1:2" x14ac:dyDescent="0.2">
      <c r="A213" s="21"/>
      <c r="B213" s="21"/>
    </row>
    <row r="214" spans="1:2" x14ac:dyDescent="0.2">
      <c r="A214" s="23" t="s">
        <v>82</v>
      </c>
      <c r="B214" s="24"/>
    </row>
    <row r="215" spans="1:2" ht="25.5" x14ac:dyDescent="0.2">
      <c r="A215" s="21">
        <v>1</v>
      </c>
      <c r="B215" s="25" t="s">
        <v>539</v>
      </c>
    </row>
    <row r="216" spans="1:2" x14ac:dyDescent="0.2">
      <c r="A216" s="21">
        <v>2</v>
      </c>
      <c r="B216" s="25" t="s">
        <v>540</v>
      </c>
    </row>
    <row r="217" spans="1:2" x14ac:dyDescent="0.2">
      <c r="A217" s="21">
        <v>3</v>
      </c>
      <c r="B217" s="25" t="s">
        <v>541</v>
      </c>
    </row>
    <row r="218" spans="1:2" x14ac:dyDescent="0.2">
      <c r="A218" s="21">
        <v>4</v>
      </c>
      <c r="B218" s="25" t="s">
        <v>542</v>
      </c>
    </row>
    <row r="219" spans="1:2" x14ac:dyDescent="0.2">
      <c r="A219" s="21"/>
      <c r="B219" s="21"/>
    </row>
    <row r="220" spans="1:2" x14ac:dyDescent="0.2">
      <c r="A220" s="23" t="s">
        <v>84</v>
      </c>
      <c r="B220" s="24"/>
    </row>
    <row r="221" spans="1:2" ht="25.5" x14ac:dyDescent="0.2">
      <c r="A221" s="21">
        <v>1</v>
      </c>
      <c r="B221" s="25" t="s">
        <v>543</v>
      </c>
    </row>
    <row r="222" spans="1:2" x14ac:dyDescent="0.2">
      <c r="A222" s="21">
        <v>2</v>
      </c>
      <c r="B222" s="25" t="s">
        <v>544</v>
      </c>
    </row>
    <row r="223" spans="1:2" x14ac:dyDescent="0.2">
      <c r="A223" s="21">
        <v>3</v>
      </c>
      <c r="B223" s="25" t="s">
        <v>545</v>
      </c>
    </row>
    <row r="224" spans="1:2" x14ac:dyDescent="0.2">
      <c r="A224" s="21">
        <v>4</v>
      </c>
      <c r="B224" s="25" t="s">
        <v>546</v>
      </c>
    </row>
    <row r="225" spans="1:2" x14ac:dyDescent="0.2">
      <c r="A225" s="21"/>
      <c r="B225" s="21"/>
    </row>
    <row r="226" spans="1:2" x14ac:dyDescent="0.2">
      <c r="A226" s="23" t="s">
        <v>86</v>
      </c>
      <c r="B226" s="24"/>
    </row>
    <row r="227" spans="1:2" ht="25.5" x14ac:dyDescent="0.2">
      <c r="A227" s="21">
        <v>1</v>
      </c>
      <c r="B227" s="25" t="s">
        <v>547</v>
      </c>
    </row>
    <row r="228" spans="1:2" x14ac:dyDescent="0.2">
      <c r="A228" s="21">
        <v>2</v>
      </c>
      <c r="B228" s="25" t="s">
        <v>548</v>
      </c>
    </row>
    <row r="229" spans="1:2" x14ac:dyDescent="0.2">
      <c r="A229" s="21">
        <v>3</v>
      </c>
      <c r="B229" s="25" t="s">
        <v>549</v>
      </c>
    </row>
    <row r="230" spans="1:2" x14ac:dyDescent="0.2">
      <c r="A230" s="21">
        <v>4</v>
      </c>
      <c r="B230" s="25" t="s">
        <v>550</v>
      </c>
    </row>
    <row r="231" spans="1:2" x14ac:dyDescent="0.2">
      <c r="A231" s="21"/>
      <c r="B231" s="21"/>
    </row>
    <row r="232" spans="1:2" x14ac:dyDescent="0.2">
      <c r="A232" s="23" t="s">
        <v>88</v>
      </c>
      <c r="B232" s="24"/>
    </row>
    <row r="233" spans="1:2" ht="25.5" x14ac:dyDescent="0.2">
      <c r="A233" s="21">
        <v>1</v>
      </c>
      <c r="B233" s="25" t="s">
        <v>551</v>
      </c>
    </row>
    <row r="234" spans="1:2" x14ac:dyDescent="0.2">
      <c r="A234" s="21">
        <v>2</v>
      </c>
      <c r="B234" s="25" t="s">
        <v>552</v>
      </c>
    </row>
    <row r="235" spans="1:2" x14ac:dyDescent="0.2">
      <c r="A235" s="21">
        <v>3</v>
      </c>
      <c r="B235" s="25" t="s">
        <v>553</v>
      </c>
    </row>
    <row r="236" spans="1:2" x14ac:dyDescent="0.2">
      <c r="A236" s="21">
        <v>4</v>
      </c>
      <c r="B236" s="25" t="s">
        <v>554</v>
      </c>
    </row>
    <row r="237" spans="1:2" x14ac:dyDescent="0.2">
      <c r="A237" s="21"/>
      <c r="B237" s="21"/>
    </row>
    <row r="238" spans="1:2" x14ac:dyDescent="0.2">
      <c r="A238" s="23" t="s">
        <v>90</v>
      </c>
      <c r="B238" s="24"/>
    </row>
    <row r="239" spans="1:2" ht="25.5" x14ac:dyDescent="0.2">
      <c r="A239" s="21">
        <v>1</v>
      </c>
      <c r="B239" s="25" t="s">
        <v>555</v>
      </c>
    </row>
    <row r="240" spans="1:2" x14ac:dyDescent="0.2">
      <c r="A240" s="21">
        <v>2</v>
      </c>
      <c r="B240" s="25" t="s">
        <v>556</v>
      </c>
    </row>
    <row r="241" spans="1:2" x14ac:dyDescent="0.2">
      <c r="A241" s="21">
        <v>3</v>
      </c>
      <c r="B241" s="25" t="s">
        <v>557</v>
      </c>
    </row>
    <row r="242" spans="1:2" x14ac:dyDescent="0.2">
      <c r="A242" s="21">
        <v>4</v>
      </c>
      <c r="B242" s="25" t="s">
        <v>558</v>
      </c>
    </row>
    <row r="243" spans="1:2" x14ac:dyDescent="0.2">
      <c r="A243" s="21"/>
      <c r="B243" s="21"/>
    </row>
    <row r="244" spans="1:2" x14ac:dyDescent="0.2">
      <c r="A244" s="23" t="s">
        <v>92</v>
      </c>
      <c r="B244" s="24"/>
    </row>
    <row r="245" spans="1:2" ht="25.5" x14ac:dyDescent="0.2">
      <c r="A245" s="21">
        <v>1</v>
      </c>
      <c r="B245" s="25" t="s">
        <v>559</v>
      </c>
    </row>
    <row r="246" spans="1:2" x14ac:dyDescent="0.2">
      <c r="A246" s="21">
        <v>2</v>
      </c>
      <c r="B246" s="25" t="s">
        <v>560</v>
      </c>
    </row>
    <row r="247" spans="1:2" x14ac:dyDescent="0.2">
      <c r="A247" s="21">
        <v>3</v>
      </c>
      <c r="B247" s="25" t="s">
        <v>561</v>
      </c>
    </row>
    <row r="248" spans="1:2" x14ac:dyDescent="0.2">
      <c r="A248" s="21">
        <v>4</v>
      </c>
      <c r="B248" s="25" t="s">
        <v>562</v>
      </c>
    </row>
    <row r="249" spans="1:2" x14ac:dyDescent="0.2">
      <c r="A249" s="21"/>
      <c r="B249" s="21"/>
    </row>
    <row r="250" spans="1:2" x14ac:dyDescent="0.2">
      <c r="A250" s="23" t="s">
        <v>95</v>
      </c>
      <c r="B250" s="24"/>
    </row>
    <row r="251" spans="1:2" ht="25.5" x14ac:dyDescent="0.2">
      <c r="A251" s="21">
        <v>1</v>
      </c>
      <c r="B251" s="25" t="s">
        <v>563</v>
      </c>
    </row>
    <row r="252" spans="1:2" x14ac:dyDescent="0.2">
      <c r="A252" s="21">
        <v>2</v>
      </c>
      <c r="B252" s="25" t="s">
        <v>564</v>
      </c>
    </row>
    <row r="253" spans="1:2" ht="87.75" x14ac:dyDescent="0.2">
      <c r="A253" s="21">
        <v>3</v>
      </c>
      <c r="B253" s="26" t="s">
        <v>565</v>
      </c>
    </row>
    <row r="254" spans="1:2" x14ac:dyDescent="0.2">
      <c r="A254" s="21">
        <v>4</v>
      </c>
      <c r="B254" s="25" t="s">
        <v>566</v>
      </c>
    </row>
    <row r="255" spans="1:2" x14ac:dyDescent="0.2">
      <c r="A255" s="21"/>
      <c r="B255" s="21"/>
    </row>
    <row r="256" spans="1:2" x14ac:dyDescent="0.2">
      <c r="A256" s="23" t="s">
        <v>97</v>
      </c>
      <c r="B256" s="24"/>
    </row>
    <row r="257" spans="1:2" ht="25.5" x14ac:dyDescent="0.2">
      <c r="A257" s="21">
        <v>1</v>
      </c>
      <c r="B257" s="25" t="s">
        <v>567</v>
      </c>
    </row>
    <row r="258" spans="1:2" x14ac:dyDescent="0.2">
      <c r="A258" s="21">
        <v>2</v>
      </c>
      <c r="B258" s="25" t="s">
        <v>568</v>
      </c>
    </row>
    <row r="259" spans="1:2" x14ac:dyDescent="0.2">
      <c r="A259" s="21">
        <v>3</v>
      </c>
      <c r="B259" s="25" t="s">
        <v>569</v>
      </c>
    </row>
    <row r="260" spans="1:2" ht="25.5" x14ac:dyDescent="0.2">
      <c r="A260" s="21">
        <v>4</v>
      </c>
      <c r="B260" s="25" t="s">
        <v>570</v>
      </c>
    </row>
    <row r="261" spans="1:2" x14ac:dyDescent="0.2">
      <c r="A261" s="21"/>
      <c r="B261" s="21"/>
    </row>
    <row r="262" spans="1:2" x14ac:dyDescent="0.2">
      <c r="A262" s="23" t="s">
        <v>99</v>
      </c>
      <c r="B262" s="24"/>
    </row>
    <row r="263" spans="1:2" ht="25.5" x14ac:dyDescent="0.2">
      <c r="A263" s="21">
        <v>1</v>
      </c>
      <c r="B263" s="25" t="s">
        <v>571</v>
      </c>
    </row>
    <row r="264" spans="1:2" x14ac:dyDescent="0.2">
      <c r="A264" s="21">
        <v>2</v>
      </c>
      <c r="B264" s="25" t="s">
        <v>572</v>
      </c>
    </row>
    <row r="265" spans="1:2" x14ac:dyDescent="0.2">
      <c r="A265" s="21">
        <v>3</v>
      </c>
      <c r="B265" s="25" t="s">
        <v>573</v>
      </c>
    </row>
    <row r="266" spans="1:2" ht="25.5" x14ac:dyDescent="0.2">
      <c r="A266" s="21">
        <v>4</v>
      </c>
      <c r="B266" s="25" t="s">
        <v>574</v>
      </c>
    </row>
    <row r="267" spans="1:2" x14ac:dyDescent="0.2">
      <c r="A267" s="21"/>
      <c r="B267" s="21"/>
    </row>
    <row r="268" spans="1:2" x14ac:dyDescent="0.2">
      <c r="A268" s="23" t="s">
        <v>101</v>
      </c>
      <c r="B268" s="24"/>
    </row>
    <row r="269" spans="1:2" ht="25.5" x14ac:dyDescent="0.2">
      <c r="A269" s="21">
        <v>1</v>
      </c>
      <c r="B269" s="25" t="s">
        <v>575</v>
      </c>
    </row>
    <row r="270" spans="1:2" x14ac:dyDescent="0.2">
      <c r="A270" s="21">
        <v>2</v>
      </c>
      <c r="B270" s="25" t="s">
        <v>576</v>
      </c>
    </row>
    <row r="271" spans="1:2" ht="25.5" x14ac:dyDescent="0.2">
      <c r="A271" s="21">
        <v>3</v>
      </c>
      <c r="B271" s="25" t="s">
        <v>577</v>
      </c>
    </row>
    <row r="272" spans="1:2" ht="25.5" x14ac:dyDescent="0.2">
      <c r="A272" s="21">
        <v>4</v>
      </c>
      <c r="B272" s="25" t="s">
        <v>578</v>
      </c>
    </row>
    <row r="273" spans="1:2" ht="25.5" x14ac:dyDescent="0.2">
      <c r="A273" s="21">
        <v>5</v>
      </c>
      <c r="B273" s="25" t="s">
        <v>579</v>
      </c>
    </row>
    <row r="274" spans="1:2" x14ac:dyDescent="0.2">
      <c r="A274" s="21"/>
      <c r="B274" s="21"/>
    </row>
    <row r="275" spans="1:2" x14ac:dyDescent="0.2">
      <c r="A275" s="23" t="s">
        <v>103</v>
      </c>
      <c r="B275" s="24"/>
    </row>
    <row r="276" spans="1:2" ht="25.5" x14ac:dyDescent="0.2">
      <c r="A276" s="21">
        <v>1</v>
      </c>
      <c r="B276" s="25" t="s">
        <v>580</v>
      </c>
    </row>
    <row r="277" spans="1:2" x14ac:dyDescent="0.2">
      <c r="A277" s="21">
        <v>2</v>
      </c>
      <c r="B277" s="25" t="s">
        <v>581</v>
      </c>
    </row>
    <row r="278" spans="1:2" x14ac:dyDescent="0.2">
      <c r="A278" s="21">
        <v>3</v>
      </c>
      <c r="B278" s="25" t="s">
        <v>582</v>
      </c>
    </row>
    <row r="279" spans="1:2" x14ac:dyDescent="0.2">
      <c r="A279" s="21">
        <v>4</v>
      </c>
      <c r="B279" s="25" t="s">
        <v>583</v>
      </c>
    </row>
    <row r="280" spans="1:2" x14ac:dyDescent="0.2">
      <c r="A280" s="21"/>
      <c r="B280" s="21"/>
    </row>
    <row r="281" spans="1:2" x14ac:dyDescent="0.2">
      <c r="A281" s="23" t="s">
        <v>105</v>
      </c>
      <c r="B281" s="24"/>
    </row>
    <row r="282" spans="1:2" ht="25.5" x14ac:dyDescent="0.2">
      <c r="A282" s="21">
        <v>1</v>
      </c>
      <c r="B282" s="25" t="s">
        <v>584</v>
      </c>
    </row>
    <row r="283" spans="1:2" x14ac:dyDescent="0.2">
      <c r="A283" s="21">
        <v>2</v>
      </c>
      <c r="B283" s="25" t="s">
        <v>585</v>
      </c>
    </row>
    <row r="284" spans="1:2" ht="25.5" x14ac:dyDescent="0.2">
      <c r="A284" s="21">
        <v>3</v>
      </c>
      <c r="B284" s="25" t="s">
        <v>586</v>
      </c>
    </row>
    <row r="285" spans="1:2" x14ac:dyDescent="0.2">
      <c r="A285" s="21">
        <v>4</v>
      </c>
      <c r="B285" s="25" t="s">
        <v>587</v>
      </c>
    </row>
    <row r="286" spans="1:2" x14ac:dyDescent="0.2">
      <c r="A286" s="21"/>
      <c r="B286" s="21"/>
    </row>
    <row r="287" spans="1:2" x14ac:dyDescent="0.2">
      <c r="A287" s="23" t="s">
        <v>108</v>
      </c>
      <c r="B287" s="24"/>
    </row>
    <row r="288" spans="1:2" ht="25.5" x14ac:dyDescent="0.2">
      <c r="A288" s="21">
        <v>1</v>
      </c>
      <c r="B288" s="25" t="s">
        <v>588</v>
      </c>
    </row>
    <row r="289" spans="1:2" ht="25.5" x14ac:dyDescent="0.2">
      <c r="A289" s="21">
        <v>2</v>
      </c>
      <c r="B289" s="25" t="s">
        <v>589</v>
      </c>
    </row>
    <row r="290" spans="1:2" x14ac:dyDescent="0.2">
      <c r="A290" s="21">
        <v>3</v>
      </c>
      <c r="B290" s="25" t="s">
        <v>590</v>
      </c>
    </row>
    <row r="291" spans="1:2" ht="25.5" x14ac:dyDescent="0.2">
      <c r="A291" s="21">
        <v>4</v>
      </c>
      <c r="B291" s="25" t="s">
        <v>591</v>
      </c>
    </row>
    <row r="292" spans="1:2" ht="25.5" x14ac:dyDescent="0.2">
      <c r="A292" s="21">
        <v>5</v>
      </c>
      <c r="B292" s="25" t="s">
        <v>592</v>
      </c>
    </row>
    <row r="293" spans="1:2" x14ac:dyDescent="0.2">
      <c r="A293" s="21"/>
      <c r="B293" s="21"/>
    </row>
    <row r="294" spans="1:2" x14ac:dyDescent="0.2">
      <c r="A294" s="23" t="s">
        <v>111</v>
      </c>
      <c r="B294" s="24"/>
    </row>
    <row r="295" spans="1:2" ht="38.25" x14ac:dyDescent="0.2">
      <c r="A295" s="21">
        <v>1</v>
      </c>
      <c r="B295" s="25" t="s">
        <v>593</v>
      </c>
    </row>
    <row r="296" spans="1:2" x14ac:dyDescent="0.2">
      <c r="A296" s="21">
        <v>2</v>
      </c>
      <c r="B296" s="25" t="s">
        <v>594</v>
      </c>
    </row>
    <row r="297" spans="1:2" ht="87.75" x14ac:dyDescent="0.2">
      <c r="A297" s="21">
        <v>3</v>
      </c>
      <c r="B297" s="26" t="s">
        <v>595</v>
      </c>
    </row>
    <row r="298" spans="1:2" ht="25.5" x14ac:dyDescent="0.2">
      <c r="A298" s="21">
        <v>4</v>
      </c>
      <c r="B298" s="25" t="s">
        <v>596</v>
      </c>
    </row>
    <row r="299" spans="1:2" ht="25.5" x14ac:dyDescent="0.2">
      <c r="A299" s="21">
        <v>5</v>
      </c>
      <c r="B299" s="25" t="s">
        <v>597</v>
      </c>
    </row>
    <row r="300" spans="1:2" ht="38.25" x14ac:dyDescent="0.2">
      <c r="A300" s="21">
        <v>6</v>
      </c>
      <c r="B300" s="25" t="s">
        <v>598</v>
      </c>
    </row>
    <row r="301" spans="1:2" ht="25.5" x14ac:dyDescent="0.2">
      <c r="A301" s="21">
        <v>7</v>
      </c>
      <c r="B301" s="25" t="s">
        <v>599</v>
      </c>
    </row>
    <row r="302" spans="1:2" x14ac:dyDescent="0.2">
      <c r="A302" s="21"/>
      <c r="B302" s="21"/>
    </row>
    <row r="303" spans="1:2" x14ac:dyDescent="0.2">
      <c r="A303" s="23" t="s">
        <v>114</v>
      </c>
      <c r="B303" s="24"/>
    </row>
    <row r="304" spans="1:2" ht="25.5" x14ac:dyDescent="0.2">
      <c r="A304" s="21">
        <v>1</v>
      </c>
      <c r="B304" s="25" t="s">
        <v>600</v>
      </c>
    </row>
    <row r="305" spans="1:2" ht="25.5" x14ac:dyDescent="0.2">
      <c r="A305" s="21">
        <v>2</v>
      </c>
      <c r="B305" s="25" t="s">
        <v>601</v>
      </c>
    </row>
    <row r="306" spans="1:2" ht="25.5" x14ac:dyDescent="0.2">
      <c r="A306" s="21">
        <v>3</v>
      </c>
      <c r="B306" s="25" t="s">
        <v>602</v>
      </c>
    </row>
    <row r="307" spans="1:2" ht="38.25" x14ac:dyDescent="0.2">
      <c r="A307" s="21">
        <v>4</v>
      </c>
      <c r="B307" s="25" t="s">
        <v>603</v>
      </c>
    </row>
    <row r="308" spans="1:2" ht="38.25" x14ac:dyDescent="0.2">
      <c r="A308" s="21">
        <v>5</v>
      </c>
      <c r="B308" s="25" t="s">
        <v>604</v>
      </c>
    </row>
    <row r="309" spans="1:2" x14ac:dyDescent="0.2">
      <c r="A309" s="21">
        <v>6</v>
      </c>
      <c r="B309" s="25" t="s">
        <v>605</v>
      </c>
    </row>
    <row r="310" spans="1:2" ht="25.5" x14ac:dyDescent="0.2">
      <c r="A310" s="21">
        <v>7</v>
      </c>
      <c r="B310" s="25" t="s">
        <v>606</v>
      </c>
    </row>
    <row r="311" spans="1:2" x14ac:dyDescent="0.2">
      <c r="A311" s="21"/>
      <c r="B311" s="21"/>
    </row>
    <row r="312" spans="1:2" x14ac:dyDescent="0.2">
      <c r="A312" s="23" t="s">
        <v>117</v>
      </c>
      <c r="B312" s="24"/>
    </row>
    <row r="313" spans="1:2" ht="25.5" x14ac:dyDescent="0.2">
      <c r="A313" s="21">
        <v>1</v>
      </c>
      <c r="B313" s="25" t="s">
        <v>607</v>
      </c>
    </row>
    <row r="314" spans="1:2" x14ac:dyDescent="0.2">
      <c r="A314" s="21">
        <v>2</v>
      </c>
      <c r="B314" s="25" t="s">
        <v>608</v>
      </c>
    </row>
    <row r="315" spans="1:2" x14ac:dyDescent="0.2">
      <c r="A315" s="21">
        <v>3</v>
      </c>
      <c r="B315" s="25" t="s">
        <v>609</v>
      </c>
    </row>
    <row r="316" spans="1:2" ht="25.5" x14ac:dyDescent="0.2">
      <c r="A316" s="21">
        <v>4</v>
      </c>
      <c r="B316" s="25" t="s">
        <v>610</v>
      </c>
    </row>
    <row r="317" spans="1:2" x14ac:dyDescent="0.2">
      <c r="A317" s="21"/>
      <c r="B317" s="21"/>
    </row>
    <row r="318" spans="1:2" x14ac:dyDescent="0.2">
      <c r="A318" s="23" t="s">
        <v>119</v>
      </c>
      <c r="B318" s="24"/>
    </row>
    <row r="319" spans="1:2" ht="25.5" x14ac:dyDescent="0.2">
      <c r="A319" s="21">
        <v>1</v>
      </c>
      <c r="B319" s="25" t="s">
        <v>611</v>
      </c>
    </row>
    <row r="320" spans="1:2" x14ac:dyDescent="0.2">
      <c r="A320" s="21">
        <v>2</v>
      </c>
      <c r="B320" s="25" t="s">
        <v>612</v>
      </c>
    </row>
    <row r="321" spans="1:2" x14ac:dyDescent="0.2">
      <c r="A321" s="21">
        <v>3</v>
      </c>
      <c r="B321" s="25" t="s">
        <v>613</v>
      </c>
    </row>
    <row r="322" spans="1:2" x14ac:dyDescent="0.2">
      <c r="A322" s="21">
        <v>4</v>
      </c>
      <c r="B322" s="25" t="s">
        <v>614</v>
      </c>
    </row>
    <row r="323" spans="1:2" x14ac:dyDescent="0.2">
      <c r="A323" s="21"/>
      <c r="B323" s="21"/>
    </row>
    <row r="324" spans="1:2" x14ac:dyDescent="0.2">
      <c r="A324" s="23" t="s">
        <v>121</v>
      </c>
      <c r="B324" s="24"/>
    </row>
    <row r="325" spans="1:2" ht="25.5" x14ac:dyDescent="0.2">
      <c r="A325" s="21">
        <v>1</v>
      </c>
      <c r="B325" s="25" t="s">
        <v>615</v>
      </c>
    </row>
    <row r="326" spans="1:2" x14ac:dyDescent="0.2">
      <c r="A326" s="21">
        <v>2</v>
      </c>
      <c r="B326" s="25" t="s">
        <v>616</v>
      </c>
    </row>
    <row r="327" spans="1:2" ht="25.5" x14ac:dyDescent="0.2">
      <c r="A327" s="21">
        <v>3</v>
      </c>
      <c r="B327" s="25" t="s">
        <v>617</v>
      </c>
    </row>
    <row r="328" spans="1:2" x14ac:dyDescent="0.2">
      <c r="A328" s="21">
        <v>4</v>
      </c>
      <c r="B328" s="25" t="s">
        <v>618</v>
      </c>
    </row>
    <row r="329" spans="1:2" x14ac:dyDescent="0.2">
      <c r="A329" s="21"/>
      <c r="B329" s="21"/>
    </row>
    <row r="330" spans="1:2" x14ac:dyDescent="0.2">
      <c r="A330" s="23" t="s">
        <v>123</v>
      </c>
      <c r="B330" s="24"/>
    </row>
    <row r="331" spans="1:2" ht="25.5" x14ac:dyDescent="0.2">
      <c r="A331" s="21">
        <v>1</v>
      </c>
      <c r="B331" s="25" t="s">
        <v>619</v>
      </c>
    </row>
    <row r="332" spans="1:2" x14ac:dyDescent="0.2">
      <c r="A332" s="21">
        <v>2</v>
      </c>
      <c r="B332" s="25" t="s">
        <v>620</v>
      </c>
    </row>
    <row r="333" spans="1:2" x14ac:dyDescent="0.2">
      <c r="A333" s="21">
        <v>3</v>
      </c>
      <c r="B333" s="25" t="s">
        <v>621</v>
      </c>
    </row>
    <row r="334" spans="1:2" ht="25.5" x14ac:dyDescent="0.2">
      <c r="A334" s="21">
        <v>4</v>
      </c>
      <c r="B334" s="25" t="s">
        <v>622</v>
      </c>
    </row>
    <row r="335" spans="1:2" x14ac:dyDescent="0.2">
      <c r="A335" s="21"/>
      <c r="B335" s="21"/>
    </row>
    <row r="336" spans="1:2" x14ac:dyDescent="0.2">
      <c r="A336" s="23" t="s">
        <v>125</v>
      </c>
      <c r="B336" s="24"/>
    </row>
    <row r="337" spans="1:2" ht="25.5" x14ac:dyDescent="0.2">
      <c r="A337" s="21">
        <v>1</v>
      </c>
      <c r="B337" s="25" t="s">
        <v>623</v>
      </c>
    </row>
    <row r="338" spans="1:2" ht="25.5" x14ac:dyDescent="0.2">
      <c r="A338" s="21">
        <v>2</v>
      </c>
      <c r="B338" s="25" t="s">
        <v>624</v>
      </c>
    </row>
    <row r="339" spans="1:2" ht="25.5" x14ac:dyDescent="0.2">
      <c r="A339" s="21">
        <v>3</v>
      </c>
      <c r="B339" s="25" t="s">
        <v>625</v>
      </c>
    </row>
    <row r="340" spans="1:2" ht="25.5" x14ac:dyDescent="0.2">
      <c r="A340" s="21">
        <v>4</v>
      </c>
      <c r="B340" s="25" t="s">
        <v>626</v>
      </c>
    </row>
    <row r="341" spans="1:2" ht="25.5" x14ac:dyDescent="0.2">
      <c r="A341" s="21">
        <v>5</v>
      </c>
      <c r="B341" s="25" t="s">
        <v>627</v>
      </c>
    </row>
    <row r="342" spans="1:2" x14ac:dyDescent="0.2">
      <c r="A342" s="21">
        <v>6</v>
      </c>
      <c r="B342" s="25" t="s">
        <v>628</v>
      </c>
    </row>
    <row r="343" spans="1:2" x14ac:dyDescent="0.2">
      <c r="A343" s="21"/>
      <c r="B343" s="21"/>
    </row>
    <row r="344" spans="1:2" x14ac:dyDescent="0.2">
      <c r="A344" s="23" t="s">
        <v>127</v>
      </c>
      <c r="B344" s="24"/>
    </row>
    <row r="345" spans="1:2" ht="25.5" x14ac:dyDescent="0.2">
      <c r="A345" s="21">
        <v>1</v>
      </c>
      <c r="B345" s="25" t="s">
        <v>629</v>
      </c>
    </row>
    <row r="346" spans="1:2" x14ac:dyDescent="0.2">
      <c r="A346" s="21">
        <v>2</v>
      </c>
      <c r="B346" s="25" t="s">
        <v>630</v>
      </c>
    </row>
    <row r="347" spans="1:2" ht="25.5" x14ac:dyDescent="0.2">
      <c r="A347" s="21">
        <v>3</v>
      </c>
      <c r="B347" s="25" t="s">
        <v>631</v>
      </c>
    </row>
    <row r="348" spans="1:2" ht="25.5" x14ac:dyDescent="0.2">
      <c r="A348" s="21">
        <v>4</v>
      </c>
      <c r="B348" s="25" t="s">
        <v>632</v>
      </c>
    </row>
    <row r="349" spans="1:2" x14ac:dyDescent="0.2">
      <c r="A349" s="21"/>
      <c r="B349" s="21"/>
    </row>
    <row r="350" spans="1:2" x14ac:dyDescent="0.2">
      <c r="A350" s="23" t="s">
        <v>129</v>
      </c>
      <c r="B350" s="24"/>
    </row>
    <row r="351" spans="1:2" ht="25.5" x14ac:dyDescent="0.2">
      <c r="A351" s="21">
        <v>1</v>
      </c>
      <c r="B351" s="25" t="s">
        <v>633</v>
      </c>
    </row>
    <row r="352" spans="1:2" ht="25.5" x14ac:dyDescent="0.2">
      <c r="A352" s="21">
        <v>2</v>
      </c>
      <c r="B352" s="25" t="s">
        <v>634</v>
      </c>
    </row>
    <row r="353" spans="1:2" x14ac:dyDescent="0.2">
      <c r="A353" s="21">
        <v>3</v>
      </c>
      <c r="B353" s="25" t="s">
        <v>635</v>
      </c>
    </row>
    <row r="354" spans="1:2" ht="25.5" x14ac:dyDescent="0.2">
      <c r="A354" s="21">
        <v>4</v>
      </c>
      <c r="B354" s="25" t="s">
        <v>636</v>
      </c>
    </row>
    <row r="355" spans="1:2" ht="38.25" x14ac:dyDescent="0.2">
      <c r="A355" s="21">
        <v>5</v>
      </c>
      <c r="B355" s="25" t="s">
        <v>637</v>
      </c>
    </row>
    <row r="356" spans="1:2" x14ac:dyDescent="0.2">
      <c r="A356" s="21">
        <v>6</v>
      </c>
      <c r="B356" s="25" t="s">
        <v>638</v>
      </c>
    </row>
    <row r="357" spans="1:2" x14ac:dyDescent="0.2">
      <c r="A357" s="21"/>
      <c r="B357" s="21"/>
    </row>
    <row r="358" spans="1:2" x14ac:dyDescent="0.2">
      <c r="A358" s="23" t="s">
        <v>132</v>
      </c>
      <c r="B358" s="24"/>
    </row>
    <row r="359" spans="1:2" x14ac:dyDescent="0.2">
      <c r="A359" s="21">
        <v>1</v>
      </c>
      <c r="B359" s="25" t="s">
        <v>639</v>
      </c>
    </row>
    <row r="360" spans="1:2" ht="25.5" x14ac:dyDescent="0.2">
      <c r="A360" s="21">
        <v>2</v>
      </c>
      <c r="B360" s="25" t="s">
        <v>640</v>
      </c>
    </row>
    <row r="361" spans="1:2" x14ac:dyDescent="0.2">
      <c r="A361" s="21">
        <v>3</v>
      </c>
      <c r="B361" s="25" t="s">
        <v>641</v>
      </c>
    </row>
    <row r="362" spans="1:2" ht="25.5" x14ac:dyDescent="0.2">
      <c r="A362" s="21">
        <v>4</v>
      </c>
      <c r="B362" s="25" t="s">
        <v>642</v>
      </c>
    </row>
    <row r="363" spans="1:2" ht="25.5" x14ac:dyDescent="0.2">
      <c r="A363" s="21">
        <v>5</v>
      </c>
      <c r="B363" s="25" t="s">
        <v>643</v>
      </c>
    </row>
    <row r="364" spans="1:2" x14ac:dyDescent="0.2">
      <c r="A364" s="21"/>
      <c r="B364" s="21"/>
    </row>
    <row r="365" spans="1:2" x14ac:dyDescent="0.2">
      <c r="A365" s="23" t="s">
        <v>134</v>
      </c>
      <c r="B365" s="24"/>
    </row>
    <row r="366" spans="1:2" x14ac:dyDescent="0.2">
      <c r="A366" s="21">
        <v>1</v>
      </c>
      <c r="B366" s="25" t="s">
        <v>644</v>
      </c>
    </row>
    <row r="367" spans="1:2" x14ac:dyDescent="0.2">
      <c r="A367" s="21">
        <v>2</v>
      </c>
      <c r="B367" s="25" t="s">
        <v>645</v>
      </c>
    </row>
    <row r="368" spans="1:2" ht="25.5" x14ac:dyDescent="0.2">
      <c r="A368" s="21">
        <v>3</v>
      </c>
      <c r="B368" s="25" t="s">
        <v>646</v>
      </c>
    </row>
    <row r="369" spans="1:2" x14ac:dyDescent="0.2">
      <c r="A369" s="21">
        <v>4</v>
      </c>
      <c r="B369" s="25" t="s">
        <v>647</v>
      </c>
    </row>
    <row r="370" spans="1:2" ht="25.5" x14ac:dyDescent="0.2">
      <c r="A370" s="21">
        <v>5</v>
      </c>
      <c r="B370" s="25" t="s">
        <v>648</v>
      </c>
    </row>
    <row r="371" spans="1:2" ht="25.5" x14ac:dyDescent="0.2">
      <c r="A371" s="21">
        <v>6</v>
      </c>
      <c r="B371" s="25" t="s">
        <v>649</v>
      </c>
    </row>
    <row r="372" spans="1:2" x14ac:dyDescent="0.2">
      <c r="A372" s="21"/>
      <c r="B372" s="21"/>
    </row>
    <row r="373" spans="1:2" x14ac:dyDescent="0.2">
      <c r="A373" s="23" t="s">
        <v>136</v>
      </c>
      <c r="B373" s="24"/>
    </row>
    <row r="374" spans="1:2" x14ac:dyDescent="0.2">
      <c r="A374" s="21">
        <v>1</v>
      </c>
      <c r="B374" s="25" t="s">
        <v>650</v>
      </c>
    </row>
    <row r="375" spans="1:2" x14ac:dyDescent="0.2">
      <c r="A375" s="21">
        <v>2</v>
      </c>
      <c r="B375" s="25" t="s">
        <v>651</v>
      </c>
    </row>
    <row r="376" spans="1:2" ht="25.5" x14ac:dyDescent="0.2">
      <c r="A376" s="21">
        <v>3</v>
      </c>
      <c r="B376" s="25" t="s">
        <v>652</v>
      </c>
    </row>
    <row r="377" spans="1:2" ht="25.5" x14ac:dyDescent="0.2">
      <c r="A377" s="21">
        <v>4</v>
      </c>
      <c r="B377" s="25" t="s">
        <v>653</v>
      </c>
    </row>
    <row r="378" spans="1:2" ht="25.5" x14ac:dyDescent="0.2">
      <c r="A378" s="21">
        <v>5</v>
      </c>
      <c r="B378" s="25" t="s">
        <v>654</v>
      </c>
    </row>
    <row r="379" spans="1:2" ht="87.75" x14ac:dyDescent="0.2">
      <c r="A379" s="21">
        <v>6</v>
      </c>
      <c r="B379" s="26" t="s">
        <v>655</v>
      </c>
    </row>
    <row r="380" spans="1:2" x14ac:dyDescent="0.2">
      <c r="A380" s="21">
        <v>7</v>
      </c>
      <c r="B380" s="25" t="s">
        <v>656</v>
      </c>
    </row>
    <row r="381" spans="1:2" ht="38.25" x14ac:dyDescent="0.2">
      <c r="A381" s="21">
        <v>8</v>
      </c>
      <c r="B381" s="25" t="s">
        <v>657</v>
      </c>
    </row>
    <row r="382" spans="1:2" ht="38.25" x14ac:dyDescent="0.2">
      <c r="A382" s="21">
        <v>9</v>
      </c>
      <c r="B382" s="25" t="s">
        <v>658</v>
      </c>
    </row>
    <row r="383" spans="1:2" x14ac:dyDescent="0.2">
      <c r="A383" s="21"/>
      <c r="B383" s="21"/>
    </row>
    <row r="384" spans="1:2" x14ac:dyDescent="0.2">
      <c r="A384" s="23" t="s">
        <v>139</v>
      </c>
      <c r="B384" s="24"/>
    </row>
    <row r="385" spans="1:2" ht="25.5" x14ac:dyDescent="0.2">
      <c r="A385" s="21">
        <v>1</v>
      </c>
      <c r="B385" s="25" t="s">
        <v>659</v>
      </c>
    </row>
    <row r="386" spans="1:2" x14ac:dyDescent="0.2">
      <c r="A386" s="21">
        <v>2</v>
      </c>
      <c r="B386" s="25" t="s">
        <v>660</v>
      </c>
    </row>
    <row r="387" spans="1:2" ht="25.5" x14ac:dyDescent="0.2">
      <c r="A387" s="21">
        <v>3</v>
      </c>
      <c r="B387" s="25" t="s">
        <v>661</v>
      </c>
    </row>
    <row r="388" spans="1:2" ht="25.5" x14ac:dyDescent="0.2">
      <c r="A388" s="21">
        <v>4</v>
      </c>
      <c r="B388" s="25" t="s">
        <v>662</v>
      </c>
    </row>
    <row r="389" spans="1:2" ht="25.5" x14ac:dyDescent="0.2">
      <c r="A389" s="21">
        <v>5</v>
      </c>
      <c r="B389" s="25" t="s">
        <v>663</v>
      </c>
    </row>
    <row r="390" spans="1:2" ht="25.5" x14ac:dyDescent="0.2">
      <c r="A390" s="21">
        <v>6</v>
      </c>
      <c r="B390" s="25" t="s">
        <v>664</v>
      </c>
    </row>
    <row r="391" spans="1:2" ht="25.5" x14ac:dyDescent="0.2">
      <c r="A391" s="21">
        <v>7</v>
      </c>
      <c r="B391" s="25" t="s">
        <v>665</v>
      </c>
    </row>
    <row r="392" spans="1:2" x14ac:dyDescent="0.2">
      <c r="A392" s="21">
        <v>8</v>
      </c>
      <c r="B392" s="25" t="s">
        <v>666</v>
      </c>
    </row>
    <row r="393" spans="1:2" ht="25.5" x14ac:dyDescent="0.2">
      <c r="A393" s="21">
        <v>9</v>
      </c>
      <c r="B393" s="25" t="s">
        <v>667</v>
      </c>
    </row>
    <row r="394" spans="1:2" ht="38.25" x14ac:dyDescent="0.2">
      <c r="A394" s="21">
        <v>10</v>
      </c>
      <c r="B394" s="25" t="s">
        <v>668</v>
      </c>
    </row>
    <row r="395" spans="1:2" x14ac:dyDescent="0.2">
      <c r="A395" s="21"/>
      <c r="B395" s="21"/>
    </row>
    <row r="396" spans="1:2" x14ac:dyDescent="0.2">
      <c r="A396" s="23" t="s">
        <v>143</v>
      </c>
      <c r="B396" s="24"/>
    </row>
    <row r="397" spans="1:2" ht="25.5" x14ac:dyDescent="0.2">
      <c r="A397" s="21">
        <v>1</v>
      </c>
      <c r="B397" s="25" t="s">
        <v>669</v>
      </c>
    </row>
    <row r="398" spans="1:2" ht="25.5" x14ac:dyDescent="0.2">
      <c r="A398" s="21">
        <v>2</v>
      </c>
      <c r="B398" s="25" t="s">
        <v>670</v>
      </c>
    </row>
    <row r="399" spans="1:2" x14ac:dyDescent="0.2">
      <c r="A399" s="21">
        <v>3</v>
      </c>
      <c r="B399" s="25" t="s">
        <v>671</v>
      </c>
    </row>
    <row r="400" spans="1:2" ht="25.5" x14ac:dyDescent="0.2">
      <c r="A400" s="21">
        <v>4</v>
      </c>
      <c r="B400" s="25" t="s">
        <v>672</v>
      </c>
    </row>
    <row r="401" spans="1:2" ht="25.5" x14ac:dyDescent="0.2">
      <c r="A401" s="21">
        <v>5</v>
      </c>
      <c r="B401" s="25" t="s">
        <v>673</v>
      </c>
    </row>
    <row r="402" spans="1:2" x14ac:dyDescent="0.2">
      <c r="A402" s="21"/>
      <c r="B402" s="21"/>
    </row>
    <row r="403" spans="1:2" ht="25.5" x14ac:dyDescent="0.2">
      <c r="A403" s="23" t="s">
        <v>146</v>
      </c>
      <c r="B403" s="24"/>
    </row>
    <row r="404" spans="1:2" x14ac:dyDescent="0.2">
      <c r="A404" s="21">
        <v>1</v>
      </c>
      <c r="B404" s="25" t="s">
        <v>674</v>
      </c>
    </row>
    <row r="405" spans="1:2" x14ac:dyDescent="0.2">
      <c r="A405" s="21">
        <v>2</v>
      </c>
      <c r="B405" s="25" t="s">
        <v>675</v>
      </c>
    </row>
    <row r="406" spans="1:2" x14ac:dyDescent="0.2">
      <c r="A406" s="21">
        <v>3</v>
      </c>
      <c r="B406" s="25" t="s">
        <v>676</v>
      </c>
    </row>
    <row r="407" spans="1:2" x14ac:dyDescent="0.2">
      <c r="A407" s="21">
        <v>4</v>
      </c>
      <c r="B407" s="25" t="s">
        <v>677</v>
      </c>
    </row>
    <row r="408" spans="1:2" x14ac:dyDescent="0.2">
      <c r="A408" s="21"/>
      <c r="B408" s="21"/>
    </row>
    <row r="409" spans="1:2" ht="25.5" x14ac:dyDescent="0.2">
      <c r="A409" s="23" t="s">
        <v>148</v>
      </c>
      <c r="B409" s="24"/>
    </row>
    <row r="410" spans="1:2" ht="25.5" x14ac:dyDescent="0.2">
      <c r="A410" s="21">
        <v>1</v>
      </c>
      <c r="B410" s="25" t="s">
        <v>678</v>
      </c>
    </row>
    <row r="411" spans="1:2" x14ac:dyDescent="0.2">
      <c r="A411" s="21">
        <v>2</v>
      </c>
      <c r="B411" s="25" t="s">
        <v>675</v>
      </c>
    </row>
    <row r="412" spans="1:2" x14ac:dyDescent="0.2">
      <c r="A412" s="21">
        <v>3</v>
      </c>
      <c r="B412" s="25" t="s">
        <v>676</v>
      </c>
    </row>
    <row r="413" spans="1:2" x14ac:dyDescent="0.2">
      <c r="A413" s="21">
        <v>4</v>
      </c>
      <c r="B413" s="25" t="s">
        <v>677</v>
      </c>
    </row>
    <row r="414" spans="1:2" x14ac:dyDescent="0.2">
      <c r="A414" s="21"/>
      <c r="B414" s="21"/>
    </row>
    <row r="415" spans="1:2" x14ac:dyDescent="0.2">
      <c r="A415" s="23" t="s">
        <v>150</v>
      </c>
      <c r="B415" s="24"/>
    </row>
    <row r="416" spans="1:2" x14ac:dyDescent="0.2">
      <c r="A416" s="21">
        <v>1</v>
      </c>
      <c r="B416" s="25" t="s">
        <v>679</v>
      </c>
    </row>
    <row r="417" spans="1:2" x14ac:dyDescent="0.2">
      <c r="A417" s="21">
        <v>2</v>
      </c>
      <c r="B417" s="25" t="s">
        <v>675</v>
      </c>
    </row>
    <row r="418" spans="1:2" x14ac:dyDescent="0.2">
      <c r="A418" s="21">
        <v>3</v>
      </c>
      <c r="B418" s="25" t="s">
        <v>676</v>
      </c>
    </row>
    <row r="419" spans="1:2" x14ac:dyDescent="0.2">
      <c r="A419" s="21">
        <v>4</v>
      </c>
      <c r="B419" s="25" t="s">
        <v>677</v>
      </c>
    </row>
    <row r="420" spans="1:2" x14ac:dyDescent="0.2">
      <c r="A420" s="21"/>
      <c r="B420" s="21"/>
    </row>
    <row r="421" spans="1:2" x14ac:dyDescent="0.2">
      <c r="A421" s="23" t="s">
        <v>152</v>
      </c>
      <c r="B421" s="24"/>
    </row>
    <row r="422" spans="1:2" ht="25.5" x14ac:dyDescent="0.2">
      <c r="A422" s="21">
        <v>1</v>
      </c>
      <c r="B422" s="25" t="s">
        <v>680</v>
      </c>
    </row>
    <row r="423" spans="1:2" x14ac:dyDescent="0.2">
      <c r="A423" s="21">
        <v>2</v>
      </c>
      <c r="B423" s="25" t="s">
        <v>681</v>
      </c>
    </row>
    <row r="424" spans="1:2" x14ac:dyDescent="0.2">
      <c r="A424" s="21">
        <v>3</v>
      </c>
      <c r="B424" s="25" t="s">
        <v>682</v>
      </c>
    </row>
    <row r="425" spans="1:2" x14ac:dyDescent="0.2">
      <c r="A425" s="21">
        <v>4</v>
      </c>
      <c r="B425" s="25" t="s">
        <v>683</v>
      </c>
    </row>
    <row r="426" spans="1:2" x14ac:dyDescent="0.2">
      <c r="A426" s="21"/>
      <c r="B426" s="21"/>
    </row>
    <row r="427" spans="1:2" x14ac:dyDescent="0.2">
      <c r="A427" s="23" t="s">
        <v>155</v>
      </c>
      <c r="B427" s="24"/>
    </row>
    <row r="428" spans="1:2" ht="25.5" x14ac:dyDescent="0.2">
      <c r="A428" s="21">
        <v>1</v>
      </c>
      <c r="B428" s="25" t="s">
        <v>684</v>
      </c>
    </row>
    <row r="429" spans="1:2" x14ac:dyDescent="0.2">
      <c r="A429" s="21">
        <v>2</v>
      </c>
      <c r="B429" s="25" t="s">
        <v>685</v>
      </c>
    </row>
    <row r="430" spans="1:2" x14ac:dyDescent="0.2">
      <c r="A430" s="21">
        <v>3</v>
      </c>
      <c r="B430" s="25" t="s">
        <v>686</v>
      </c>
    </row>
    <row r="431" spans="1:2" x14ac:dyDescent="0.2">
      <c r="A431" s="21">
        <v>4</v>
      </c>
      <c r="B431" s="25" t="s">
        <v>687</v>
      </c>
    </row>
    <row r="432" spans="1:2" x14ac:dyDescent="0.2">
      <c r="A432" s="21"/>
      <c r="B432" s="21"/>
    </row>
    <row r="433" spans="1:2" x14ac:dyDescent="0.2">
      <c r="A433" s="23" t="s">
        <v>158</v>
      </c>
      <c r="B433" s="24"/>
    </row>
    <row r="434" spans="1:2" ht="25.5" x14ac:dyDescent="0.2">
      <c r="A434" s="21">
        <v>1</v>
      </c>
      <c r="B434" s="25" t="s">
        <v>688</v>
      </c>
    </row>
    <row r="435" spans="1:2" ht="25.5" x14ac:dyDescent="0.2">
      <c r="A435" s="21">
        <v>2</v>
      </c>
      <c r="B435" s="25" t="s">
        <v>689</v>
      </c>
    </row>
    <row r="436" spans="1:2" x14ac:dyDescent="0.2">
      <c r="A436" s="21">
        <v>3</v>
      </c>
      <c r="B436" s="25" t="s">
        <v>690</v>
      </c>
    </row>
    <row r="437" spans="1:2" x14ac:dyDescent="0.2">
      <c r="A437" s="21"/>
      <c r="B437" s="21"/>
    </row>
    <row r="438" spans="1:2" x14ac:dyDescent="0.2">
      <c r="A438" s="23" t="s">
        <v>161</v>
      </c>
      <c r="B438" s="24"/>
    </row>
    <row r="439" spans="1:2" ht="25.5" x14ac:dyDescent="0.2">
      <c r="A439" s="21">
        <v>1</v>
      </c>
      <c r="B439" s="25" t="s">
        <v>691</v>
      </c>
    </row>
    <row r="440" spans="1:2" ht="25.5" x14ac:dyDescent="0.2">
      <c r="A440" s="21">
        <v>2</v>
      </c>
      <c r="B440" s="25" t="s">
        <v>689</v>
      </c>
    </row>
    <row r="441" spans="1:2" x14ac:dyDescent="0.2">
      <c r="A441" s="21">
        <v>3</v>
      </c>
      <c r="B441" s="25" t="s">
        <v>690</v>
      </c>
    </row>
    <row r="442" spans="1:2" x14ac:dyDescent="0.2">
      <c r="A442" s="21"/>
      <c r="B442" s="21"/>
    </row>
    <row r="443" spans="1:2" x14ac:dyDescent="0.2">
      <c r="A443" s="23" t="s">
        <v>164</v>
      </c>
      <c r="B443" s="24"/>
    </row>
    <row r="444" spans="1:2" x14ac:dyDescent="0.2">
      <c r="A444" s="21">
        <v>1</v>
      </c>
      <c r="B444" s="25" t="s">
        <v>692</v>
      </c>
    </row>
    <row r="445" spans="1:2" ht="25.5" x14ac:dyDescent="0.2">
      <c r="A445" s="21">
        <v>2</v>
      </c>
      <c r="B445" s="25" t="s">
        <v>689</v>
      </c>
    </row>
    <row r="446" spans="1:2" x14ac:dyDescent="0.2">
      <c r="A446" s="21">
        <v>3</v>
      </c>
      <c r="B446" s="25" t="s">
        <v>690</v>
      </c>
    </row>
    <row r="447" spans="1:2" x14ac:dyDescent="0.2">
      <c r="A447" s="21"/>
      <c r="B447" s="21"/>
    </row>
    <row r="448" spans="1:2" ht="25.5" x14ac:dyDescent="0.2">
      <c r="A448" s="23" t="s">
        <v>167</v>
      </c>
      <c r="B448" s="24"/>
    </row>
    <row r="449" spans="1:2" x14ac:dyDescent="0.2">
      <c r="A449" s="21">
        <v>1</v>
      </c>
      <c r="B449" s="25" t="s">
        <v>693</v>
      </c>
    </row>
    <row r="450" spans="1:2" ht="25.5" x14ac:dyDescent="0.2">
      <c r="A450" s="21">
        <v>2</v>
      </c>
      <c r="B450" s="25" t="s">
        <v>689</v>
      </c>
    </row>
    <row r="451" spans="1:2" x14ac:dyDescent="0.2">
      <c r="A451" s="21">
        <v>3</v>
      </c>
      <c r="B451" s="25" t="s">
        <v>690</v>
      </c>
    </row>
    <row r="452" spans="1:2" x14ac:dyDescent="0.2">
      <c r="A452" s="21"/>
      <c r="B452" s="21"/>
    </row>
    <row r="453" spans="1:2" x14ac:dyDescent="0.2">
      <c r="A453" s="23" t="s">
        <v>170</v>
      </c>
      <c r="B453" s="24"/>
    </row>
    <row r="454" spans="1:2" x14ac:dyDescent="0.2">
      <c r="A454" s="21">
        <v>1</v>
      </c>
      <c r="B454" s="25" t="s">
        <v>694</v>
      </c>
    </row>
    <row r="455" spans="1:2" ht="25.5" x14ac:dyDescent="0.2">
      <c r="A455" s="21">
        <v>2</v>
      </c>
      <c r="B455" s="25" t="s">
        <v>689</v>
      </c>
    </row>
    <row r="456" spans="1:2" x14ac:dyDescent="0.2">
      <c r="A456" s="21">
        <v>3</v>
      </c>
      <c r="B456" s="25" t="s">
        <v>690</v>
      </c>
    </row>
    <row r="457" spans="1:2" x14ac:dyDescent="0.2">
      <c r="A457" s="21"/>
      <c r="B457" s="21"/>
    </row>
    <row r="458" spans="1:2" x14ac:dyDescent="0.2">
      <c r="A458" s="23" t="s">
        <v>173</v>
      </c>
      <c r="B458" s="24"/>
    </row>
    <row r="459" spans="1:2" x14ac:dyDescent="0.2">
      <c r="A459" s="21">
        <v>1</v>
      </c>
      <c r="B459" s="25" t="s">
        <v>695</v>
      </c>
    </row>
    <row r="460" spans="1:2" ht="25.5" x14ac:dyDescent="0.2">
      <c r="A460" s="21">
        <v>2</v>
      </c>
      <c r="B460" s="25" t="s">
        <v>689</v>
      </c>
    </row>
    <row r="461" spans="1:2" x14ac:dyDescent="0.2">
      <c r="A461" s="21">
        <v>3</v>
      </c>
      <c r="B461" s="25" t="s">
        <v>690</v>
      </c>
    </row>
    <row r="462" spans="1:2" x14ac:dyDescent="0.2">
      <c r="A462" s="21"/>
      <c r="B462" s="21"/>
    </row>
    <row r="463" spans="1:2" x14ac:dyDescent="0.2">
      <c r="A463" s="23" t="s">
        <v>176</v>
      </c>
      <c r="B463" s="24"/>
    </row>
    <row r="464" spans="1:2" x14ac:dyDescent="0.2">
      <c r="A464" s="21">
        <v>1</v>
      </c>
      <c r="B464" s="25" t="s">
        <v>696</v>
      </c>
    </row>
    <row r="465" spans="1:2" ht="25.5" x14ac:dyDescent="0.2">
      <c r="A465" s="21">
        <v>2</v>
      </c>
      <c r="B465" s="25" t="s">
        <v>697</v>
      </c>
    </row>
    <row r="466" spans="1:2" x14ac:dyDescent="0.2">
      <c r="A466" s="21"/>
      <c r="B466" s="21"/>
    </row>
    <row r="467" spans="1:2" ht="25.5" x14ac:dyDescent="0.2">
      <c r="A467" s="23" t="s">
        <v>178</v>
      </c>
      <c r="B467" s="24"/>
    </row>
    <row r="468" spans="1:2" x14ac:dyDescent="0.2">
      <c r="A468" s="21">
        <v>1</v>
      </c>
      <c r="B468" s="25" t="s">
        <v>698</v>
      </c>
    </row>
    <row r="469" spans="1:2" ht="25.5" x14ac:dyDescent="0.2">
      <c r="A469" s="21">
        <v>2</v>
      </c>
      <c r="B469" s="25" t="s">
        <v>697</v>
      </c>
    </row>
    <row r="470" spans="1:2" x14ac:dyDescent="0.2">
      <c r="A470" s="21"/>
      <c r="B470" s="21"/>
    </row>
    <row r="471" spans="1:2" x14ac:dyDescent="0.2">
      <c r="A471" s="23" t="s">
        <v>180</v>
      </c>
      <c r="B471" s="24"/>
    </row>
    <row r="472" spans="1:2" x14ac:dyDescent="0.2">
      <c r="A472" s="21">
        <v>1</v>
      </c>
      <c r="B472" s="25" t="s">
        <v>699</v>
      </c>
    </row>
    <row r="473" spans="1:2" ht="25.5" x14ac:dyDescent="0.2">
      <c r="A473" s="21">
        <v>2</v>
      </c>
      <c r="B473" s="25" t="s">
        <v>697</v>
      </c>
    </row>
    <row r="474" spans="1:2" x14ac:dyDescent="0.2">
      <c r="A474" s="21"/>
      <c r="B474" s="21"/>
    </row>
    <row r="475" spans="1:2" x14ac:dyDescent="0.2">
      <c r="A475" s="23" t="s">
        <v>182</v>
      </c>
      <c r="B475" s="24"/>
    </row>
    <row r="476" spans="1:2" x14ac:dyDescent="0.2">
      <c r="A476" s="21">
        <v>1</v>
      </c>
      <c r="B476" s="25" t="s">
        <v>700</v>
      </c>
    </row>
    <row r="477" spans="1:2" ht="25.5" x14ac:dyDescent="0.2">
      <c r="A477" s="21">
        <v>2</v>
      </c>
      <c r="B477" s="25" t="s">
        <v>697</v>
      </c>
    </row>
    <row r="478" spans="1:2" x14ac:dyDescent="0.2">
      <c r="A478" s="21"/>
      <c r="B478" s="21"/>
    </row>
    <row r="479" spans="1:2" x14ac:dyDescent="0.2">
      <c r="A479" s="23" t="s">
        <v>184</v>
      </c>
      <c r="B479" s="24"/>
    </row>
    <row r="480" spans="1:2" ht="25.5" x14ac:dyDescent="0.2">
      <c r="A480" s="21">
        <v>1</v>
      </c>
      <c r="B480" s="25" t="s">
        <v>701</v>
      </c>
    </row>
    <row r="481" spans="1:2" ht="25.5" x14ac:dyDescent="0.2">
      <c r="A481" s="21">
        <v>2</v>
      </c>
      <c r="B481" s="25" t="s">
        <v>697</v>
      </c>
    </row>
    <row r="482" spans="1:2" x14ac:dyDescent="0.2">
      <c r="A482" s="21"/>
      <c r="B482" s="21"/>
    </row>
    <row r="483" spans="1:2" x14ac:dyDescent="0.2">
      <c r="A483" s="23" t="s">
        <v>187</v>
      </c>
      <c r="B483" s="24"/>
    </row>
    <row r="484" spans="1:2" ht="25.5" x14ac:dyDescent="0.2">
      <c r="A484" s="21">
        <v>1</v>
      </c>
      <c r="B484" s="25" t="s">
        <v>702</v>
      </c>
    </row>
    <row r="485" spans="1:2" x14ac:dyDescent="0.2">
      <c r="A485" s="21">
        <v>2</v>
      </c>
      <c r="B485" s="25" t="s">
        <v>703</v>
      </c>
    </row>
    <row r="486" spans="1:2" x14ac:dyDescent="0.2">
      <c r="A486" s="21">
        <v>3</v>
      </c>
      <c r="B486" s="25" t="s">
        <v>704</v>
      </c>
    </row>
    <row r="487" spans="1:2" ht="25.5" x14ac:dyDescent="0.2">
      <c r="A487" s="21">
        <v>4</v>
      </c>
      <c r="B487" s="25" t="s">
        <v>705</v>
      </c>
    </row>
    <row r="488" spans="1:2" x14ac:dyDescent="0.2">
      <c r="A488" s="21">
        <v>5</v>
      </c>
      <c r="B488" s="25" t="s">
        <v>706</v>
      </c>
    </row>
    <row r="489" spans="1:2" x14ac:dyDescent="0.2">
      <c r="A489" s="21"/>
      <c r="B489" s="21"/>
    </row>
    <row r="490" spans="1:2" x14ac:dyDescent="0.2">
      <c r="A490" s="23" t="s">
        <v>189</v>
      </c>
      <c r="B490" s="24"/>
    </row>
    <row r="491" spans="1:2" ht="25.5" x14ac:dyDescent="0.2">
      <c r="A491" s="21">
        <v>1</v>
      </c>
      <c r="B491" s="25" t="s">
        <v>707</v>
      </c>
    </row>
    <row r="492" spans="1:2" x14ac:dyDescent="0.2">
      <c r="A492" s="21">
        <v>2</v>
      </c>
      <c r="B492" s="25" t="s">
        <v>708</v>
      </c>
    </row>
    <row r="493" spans="1:2" ht="25.5" x14ac:dyDescent="0.2">
      <c r="A493" s="21">
        <v>3</v>
      </c>
      <c r="B493" s="25" t="s">
        <v>709</v>
      </c>
    </row>
    <row r="494" spans="1:2" x14ac:dyDescent="0.2">
      <c r="A494" s="21">
        <v>4</v>
      </c>
      <c r="B494" s="25" t="s">
        <v>710</v>
      </c>
    </row>
    <row r="495" spans="1:2" x14ac:dyDescent="0.2">
      <c r="A495" s="21"/>
      <c r="B495" s="21"/>
    </row>
    <row r="496" spans="1:2" x14ac:dyDescent="0.2">
      <c r="A496" s="23" t="s">
        <v>191</v>
      </c>
      <c r="B496" s="24"/>
    </row>
    <row r="497" spans="1:2" x14ac:dyDescent="0.2">
      <c r="A497" s="21">
        <v>1</v>
      </c>
      <c r="B497" s="25" t="s">
        <v>711</v>
      </c>
    </row>
    <row r="498" spans="1:2" x14ac:dyDescent="0.2">
      <c r="A498" s="21">
        <v>2</v>
      </c>
      <c r="B498" s="25" t="s">
        <v>712</v>
      </c>
    </row>
    <row r="499" spans="1:2" ht="25.5" x14ac:dyDescent="0.2">
      <c r="A499" s="21">
        <v>3</v>
      </c>
      <c r="B499" s="25" t="s">
        <v>713</v>
      </c>
    </row>
    <row r="500" spans="1:2" x14ac:dyDescent="0.2">
      <c r="A500" s="21">
        <v>4</v>
      </c>
      <c r="B500" s="25" t="s">
        <v>714</v>
      </c>
    </row>
    <row r="501" spans="1:2" x14ac:dyDescent="0.2">
      <c r="A501" s="21"/>
      <c r="B501" s="21"/>
    </row>
    <row r="502" spans="1:2" x14ac:dyDescent="0.2">
      <c r="A502" s="23" t="s">
        <v>194</v>
      </c>
      <c r="B502" s="24"/>
    </row>
    <row r="503" spans="1:2" x14ac:dyDescent="0.2">
      <c r="A503" s="21">
        <v>1</v>
      </c>
      <c r="B503" s="25" t="s">
        <v>715</v>
      </c>
    </row>
    <row r="504" spans="1:2" x14ac:dyDescent="0.2">
      <c r="A504" s="21">
        <v>2</v>
      </c>
      <c r="B504" s="25" t="s">
        <v>716</v>
      </c>
    </row>
    <row r="505" spans="1:2" x14ac:dyDescent="0.2">
      <c r="A505" s="21">
        <v>3</v>
      </c>
      <c r="B505" s="25" t="s">
        <v>717</v>
      </c>
    </row>
    <row r="506" spans="1:2" x14ac:dyDescent="0.2">
      <c r="A506" s="21"/>
      <c r="B506" s="21"/>
    </row>
    <row r="507" spans="1:2" x14ac:dyDescent="0.2">
      <c r="A507" s="23" t="s">
        <v>196</v>
      </c>
      <c r="B507" s="24"/>
    </row>
    <row r="508" spans="1:2" ht="25.5" x14ac:dyDescent="0.2">
      <c r="A508" s="21">
        <v>1</v>
      </c>
      <c r="B508" s="25" t="s">
        <v>718</v>
      </c>
    </row>
    <row r="509" spans="1:2" x14ac:dyDescent="0.2">
      <c r="A509" s="21">
        <v>2</v>
      </c>
      <c r="B509" s="25" t="s">
        <v>719</v>
      </c>
    </row>
    <row r="510" spans="1:2" x14ac:dyDescent="0.2">
      <c r="A510" s="21">
        <v>3</v>
      </c>
      <c r="B510" s="25" t="s">
        <v>720</v>
      </c>
    </row>
    <row r="511" spans="1:2" x14ac:dyDescent="0.2">
      <c r="A511" s="21">
        <v>4</v>
      </c>
      <c r="B511" s="25" t="s">
        <v>721</v>
      </c>
    </row>
    <row r="512" spans="1:2" x14ac:dyDescent="0.2">
      <c r="A512" s="21"/>
      <c r="B512" s="21"/>
    </row>
    <row r="513" spans="1:2" x14ac:dyDescent="0.2">
      <c r="A513" s="23" t="s">
        <v>198</v>
      </c>
      <c r="B513" s="24"/>
    </row>
    <row r="514" spans="1:2" ht="25.5" x14ac:dyDescent="0.2">
      <c r="A514" s="21">
        <v>1</v>
      </c>
      <c r="B514" s="25" t="s">
        <v>722</v>
      </c>
    </row>
    <row r="515" spans="1:2" x14ac:dyDescent="0.2">
      <c r="A515" s="21">
        <v>2</v>
      </c>
      <c r="B515" s="25" t="s">
        <v>723</v>
      </c>
    </row>
    <row r="516" spans="1:2" x14ac:dyDescent="0.2">
      <c r="A516" s="21">
        <v>3</v>
      </c>
      <c r="B516" s="25" t="s">
        <v>724</v>
      </c>
    </row>
    <row r="517" spans="1:2" x14ac:dyDescent="0.2">
      <c r="A517" s="21">
        <v>4</v>
      </c>
      <c r="B517" s="25" t="s">
        <v>725</v>
      </c>
    </row>
    <row r="518" spans="1:2" x14ac:dyDescent="0.2">
      <c r="A518" s="21"/>
      <c r="B518" s="21"/>
    </row>
    <row r="519" spans="1:2" x14ac:dyDescent="0.2">
      <c r="A519" s="23" t="s">
        <v>200</v>
      </c>
      <c r="B519" s="24"/>
    </row>
    <row r="520" spans="1:2" ht="25.5" x14ac:dyDescent="0.2">
      <c r="A520" s="21">
        <v>1</v>
      </c>
      <c r="B520" s="25" t="s">
        <v>726</v>
      </c>
    </row>
    <row r="521" spans="1:2" x14ac:dyDescent="0.2">
      <c r="A521" s="21">
        <v>2</v>
      </c>
      <c r="B521" s="25" t="s">
        <v>727</v>
      </c>
    </row>
    <row r="522" spans="1:2" x14ac:dyDescent="0.2">
      <c r="A522" s="21">
        <v>3</v>
      </c>
      <c r="B522" s="25" t="s">
        <v>728</v>
      </c>
    </row>
    <row r="523" spans="1:2" x14ac:dyDescent="0.2">
      <c r="A523" s="21">
        <v>4</v>
      </c>
      <c r="B523" s="25" t="s">
        <v>729</v>
      </c>
    </row>
    <row r="524" spans="1:2" x14ac:dyDescent="0.2">
      <c r="A524" s="21"/>
      <c r="B524" s="21"/>
    </row>
    <row r="525" spans="1:2" x14ac:dyDescent="0.2">
      <c r="A525" s="23" t="s">
        <v>202</v>
      </c>
      <c r="B525" s="24"/>
    </row>
    <row r="526" spans="1:2" ht="25.5" x14ac:dyDescent="0.2">
      <c r="A526" s="21">
        <v>1</v>
      </c>
      <c r="B526" s="25" t="s">
        <v>730</v>
      </c>
    </row>
    <row r="527" spans="1:2" x14ac:dyDescent="0.2">
      <c r="A527" s="21">
        <v>2</v>
      </c>
      <c r="B527" s="25" t="s">
        <v>731</v>
      </c>
    </row>
    <row r="528" spans="1:2" x14ac:dyDescent="0.2">
      <c r="A528" s="21">
        <v>3</v>
      </c>
      <c r="B528" s="25" t="s">
        <v>732</v>
      </c>
    </row>
    <row r="529" spans="1:2" x14ac:dyDescent="0.2">
      <c r="A529" s="21">
        <v>4</v>
      </c>
      <c r="B529" s="25" t="s">
        <v>733</v>
      </c>
    </row>
    <row r="530" spans="1:2" x14ac:dyDescent="0.2">
      <c r="A530" s="21"/>
      <c r="B530" s="21"/>
    </row>
    <row r="531" spans="1:2" x14ac:dyDescent="0.2">
      <c r="A531" s="23" t="s">
        <v>204</v>
      </c>
      <c r="B531" s="24"/>
    </row>
    <row r="532" spans="1:2" ht="25.5" x14ac:dyDescent="0.2">
      <c r="A532" s="21">
        <v>1</v>
      </c>
      <c r="B532" s="25" t="s">
        <v>734</v>
      </c>
    </row>
    <row r="533" spans="1:2" x14ac:dyDescent="0.2">
      <c r="A533" s="21">
        <v>2</v>
      </c>
      <c r="B533" s="25" t="s">
        <v>735</v>
      </c>
    </row>
    <row r="534" spans="1:2" x14ac:dyDescent="0.2">
      <c r="A534" s="21">
        <v>3</v>
      </c>
      <c r="B534" s="25" t="s">
        <v>736</v>
      </c>
    </row>
    <row r="535" spans="1:2" x14ac:dyDescent="0.2">
      <c r="A535" s="21">
        <v>4</v>
      </c>
      <c r="B535" s="25" t="s">
        <v>737</v>
      </c>
    </row>
    <row r="536" spans="1:2" x14ac:dyDescent="0.2">
      <c r="A536" s="21"/>
      <c r="B536" s="21"/>
    </row>
    <row r="537" spans="1:2" x14ac:dyDescent="0.2">
      <c r="A537" s="23" t="s">
        <v>206</v>
      </c>
      <c r="B537" s="24"/>
    </row>
    <row r="538" spans="1:2" x14ac:dyDescent="0.2">
      <c r="A538" s="21">
        <v>1</v>
      </c>
      <c r="B538" s="25" t="s">
        <v>738</v>
      </c>
    </row>
    <row r="539" spans="1:2" x14ac:dyDescent="0.2">
      <c r="A539" s="21">
        <v>2</v>
      </c>
      <c r="B539" s="25" t="s">
        <v>739</v>
      </c>
    </row>
    <row r="540" spans="1:2" ht="25.5" x14ac:dyDescent="0.2">
      <c r="A540" s="21">
        <v>3</v>
      </c>
      <c r="B540" s="25" t="s">
        <v>740</v>
      </c>
    </row>
    <row r="541" spans="1:2" x14ac:dyDescent="0.2">
      <c r="A541" s="21">
        <v>4</v>
      </c>
      <c r="B541" s="25" t="s">
        <v>741</v>
      </c>
    </row>
    <row r="542" spans="1:2" x14ac:dyDescent="0.2">
      <c r="A542" s="21"/>
      <c r="B542" s="21"/>
    </row>
    <row r="543" spans="1:2" x14ac:dyDescent="0.2">
      <c r="A543" s="23" t="s">
        <v>208</v>
      </c>
      <c r="B543" s="24"/>
    </row>
    <row r="544" spans="1:2" x14ac:dyDescent="0.2">
      <c r="A544" s="21">
        <v>1</v>
      </c>
      <c r="B544" s="25" t="s">
        <v>742</v>
      </c>
    </row>
    <row r="545" spans="1:2" x14ac:dyDescent="0.2">
      <c r="A545" s="21">
        <v>2</v>
      </c>
      <c r="B545" s="25" t="s">
        <v>743</v>
      </c>
    </row>
    <row r="546" spans="1:2" x14ac:dyDescent="0.2">
      <c r="A546" s="21">
        <v>3</v>
      </c>
      <c r="B546" s="25" t="s">
        <v>744</v>
      </c>
    </row>
    <row r="547" spans="1:2" x14ac:dyDescent="0.2">
      <c r="A547" s="21"/>
      <c r="B547" s="21"/>
    </row>
    <row r="548" spans="1:2" x14ac:dyDescent="0.2">
      <c r="A548" s="23" t="s">
        <v>210</v>
      </c>
      <c r="B548" s="24"/>
    </row>
    <row r="549" spans="1:2" x14ac:dyDescent="0.2">
      <c r="A549" s="21">
        <v>1</v>
      </c>
      <c r="B549" s="25" t="s">
        <v>745</v>
      </c>
    </row>
    <row r="550" spans="1:2" x14ac:dyDescent="0.2">
      <c r="A550" s="21">
        <v>2</v>
      </c>
      <c r="B550" s="25" t="s">
        <v>746</v>
      </c>
    </row>
    <row r="551" spans="1:2" x14ac:dyDescent="0.2">
      <c r="A551" s="21">
        <v>3</v>
      </c>
      <c r="B551" s="25" t="s">
        <v>747</v>
      </c>
    </row>
    <row r="552" spans="1:2" x14ac:dyDescent="0.2">
      <c r="A552" s="21"/>
      <c r="B552" s="21"/>
    </row>
    <row r="553" spans="1:2" x14ac:dyDescent="0.2">
      <c r="A553" s="23" t="s">
        <v>212</v>
      </c>
      <c r="B553" s="24"/>
    </row>
    <row r="554" spans="1:2" x14ac:dyDescent="0.2">
      <c r="A554" s="21">
        <v>1</v>
      </c>
      <c r="B554" s="25" t="s">
        <v>748</v>
      </c>
    </row>
    <row r="555" spans="1:2" x14ac:dyDescent="0.2">
      <c r="A555" s="21">
        <v>2</v>
      </c>
      <c r="B555" s="25" t="s">
        <v>746</v>
      </c>
    </row>
    <row r="556" spans="1:2" x14ac:dyDescent="0.2">
      <c r="A556" s="21">
        <v>3</v>
      </c>
      <c r="B556" s="25" t="s">
        <v>747</v>
      </c>
    </row>
    <row r="557" spans="1:2" x14ac:dyDescent="0.2">
      <c r="A557" s="21"/>
      <c r="B557" s="21"/>
    </row>
    <row r="558" spans="1:2" x14ac:dyDescent="0.2">
      <c r="A558" s="23" t="s">
        <v>214</v>
      </c>
      <c r="B558" s="24"/>
    </row>
    <row r="559" spans="1:2" x14ac:dyDescent="0.2">
      <c r="A559" s="21">
        <v>1</v>
      </c>
      <c r="B559" s="25" t="s">
        <v>749</v>
      </c>
    </row>
    <row r="560" spans="1:2" x14ac:dyDescent="0.2">
      <c r="A560" s="21">
        <v>2</v>
      </c>
      <c r="B560" s="25" t="s">
        <v>746</v>
      </c>
    </row>
    <row r="561" spans="1:2" x14ac:dyDescent="0.2">
      <c r="A561" s="21">
        <v>3</v>
      </c>
      <c r="B561" s="25" t="s">
        <v>747</v>
      </c>
    </row>
    <row r="562" spans="1:2" x14ac:dyDescent="0.2">
      <c r="A562" s="21"/>
      <c r="B562" s="21"/>
    </row>
    <row r="563" spans="1:2" x14ac:dyDescent="0.2">
      <c r="A563" s="23" t="s">
        <v>216</v>
      </c>
      <c r="B563" s="24"/>
    </row>
    <row r="564" spans="1:2" x14ac:dyDescent="0.2">
      <c r="A564" s="21">
        <v>1</v>
      </c>
      <c r="B564" s="25" t="s">
        <v>750</v>
      </c>
    </row>
    <row r="565" spans="1:2" x14ac:dyDescent="0.2">
      <c r="A565" s="21">
        <v>2</v>
      </c>
      <c r="B565" s="25" t="s">
        <v>746</v>
      </c>
    </row>
    <row r="566" spans="1:2" x14ac:dyDescent="0.2">
      <c r="A566" s="21">
        <v>3</v>
      </c>
      <c r="B566" s="25" t="s">
        <v>747</v>
      </c>
    </row>
    <row r="567" spans="1:2" x14ac:dyDescent="0.2">
      <c r="A567" s="21"/>
      <c r="B567" s="21"/>
    </row>
    <row r="568" spans="1:2" x14ac:dyDescent="0.2">
      <c r="A568" s="23" t="s">
        <v>218</v>
      </c>
      <c r="B568" s="24"/>
    </row>
    <row r="569" spans="1:2" x14ac:dyDescent="0.2">
      <c r="A569" s="21">
        <v>1</v>
      </c>
      <c r="B569" s="25" t="s">
        <v>751</v>
      </c>
    </row>
    <row r="570" spans="1:2" x14ac:dyDescent="0.2">
      <c r="A570" s="21">
        <v>2</v>
      </c>
      <c r="B570" s="25" t="s">
        <v>746</v>
      </c>
    </row>
    <row r="571" spans="1:2" x14ac:dyDescent="0.2">
      <c r="A571" s="21">
        <v>3</v>
      </c>
      <c r="B571" s="25" t="s">
        <v>747</v>
      </c>
    </row>
    <row r="572" spans="1:2" x14ac:dyDescent="0.2">
      <c r="A572" s="21"/>
      <c r="B572" s="21"/>
    </row>
    <row r="573" spans="1:2" x14ac:dyDescent="0.2">
      <c r="A573" s="23" t="s">
        <v>220</v>
      </c>
      <c r="B573" s="24"/>
    </row>
    <row r="574" spans="1:2" ht="25.5" x14ac:dyDescent="0.2">
      <c r="A574" s="21">
        <v>1</v>
      </c>
      <c r="B574" s="25" t="s">
        <v>752</v>
      </c>
    </row>
    <row r="575" spans="1:2" x14ac:dyDescent="0.2">
      <c r="A575" s="21">
        <v>2</v>
      </c>
      <c r="B575" s="25" t="s">
        <v>753</v>
      </c>
    </row>
    <row r="576" spans="1:2" ht="25.5" x14ac:dyDescent="0.2">
      <c r="A576" s="21">
        <v>3</v>
      </c>
      <c r="B576" s="25" t="s">
        <v>754</v>
      </c>
    </row>
    <row r="577" spans="1:2" x14ac:dyDescent="0.2">
      <c r="A577" s="21">
        <v>4</v>
      </c>
      <c r="B577" s="25" t="s">
        <v>755</v>
      </c>
    </row>
    <row r="578" spans="1:2" x14ac:dyDescent="0.2">
      <c r="A578" s="21"/>
      <c r="B578" s="21"/>
    </row>
    <row r="579" spans="1:2" x14ac:dyDescent="0.2">
      <c r="A579" s="23" t="s">
        <v>223</v>
      </c>
      <c r="B579" s="24"/>
    </row>
    <row r="580" spans="1:2" ht="25.5" x14ac:dyDescent="0.2">
      <c r="A580" s="21">
        <v>1</v>
      </c>
      <c r="B580" s="25" t="s">
        <v>756</v>
      </c>
    </row>
    <row r="581" spans="1:2" x14ac:dyDescent="0.2">
      <c r="A581" s="21">
        <v>2</v>
      </c>
      <c r="B581" s="25" t="s">
        <v>757</v>
      </c>
    </row>
    <row r="582" spans="1:2" x14ac:dyDescent="0.2">
      <c r="A582" s="21">
        <v>3</v>
      </c>
      <c r="B582" s="25" t="s">
        <v>758</v>
      </c>
    </row>
    <row r="583" spans="1:2" x14ac:dyDescent="0.2">
      <c r="A583" s="21">
        <v>4</v>
      </c>
      <c r="B583" s="25" t="s">
        <v>759</v>
      </c>
    </row>
    <row r="584" spans="1:2" x14ac:dyDescent="0.2">
      <c r="A584" s="21"/>
      <c r="B584" s="21"/>
    </row>
    <row r="585" spans="1:2" x14ac:dyDescent="0.2">
      <c r="A585" s="23" t="s">
        <v>227</v>
      </c>
      <c r="B585" s="24"/>
    </row>
    <row r="586" spans="1:2" ht="25.5" x14ac:dyDescent="0.2">
      <c r="A586" s="21">
        <v>1</v>
      </c>
      <c r="B586" s="25" t="s">
        <v>760</v>
      </c>
    </row>
    <row r="587" spans="1:2" x14ac:dyDescent="0.2">
      <c r="A587" s="21">
        <v>2</v>
      </c>
      <c r="B587" s="25" t="s">
        <v>757</v>
      </c>
    </row>
    <row r="588" spans="1:2" x14ac:dyDescent="0.2">
      <c r="A588" s="21">
        <v>3</v>
      </c>
      <c r="B588" s="25" t="s">
        <v>758</v>
      </c>
    </row>
    <row r="589" spans="1:2" x14ac:dyDescent="0.2">
      <c r="A589" s="21">
        <v>4</v>
      </c>
      <c r="B589" s="25" t="s">
        <v>759</v>
      </c>
    </row>
    <row r="590" spans="1:2" x14ac:dyDescent="0.2">
      <c r="A590" s="21"/>
      <c r="B590" s="21"/>
    </row>
    <row r="591" spans="1:2" x14ac:dyDescent="0.2">
      <c r="A591" s="23" t="s">
        <v>230</v>
      </c>
      <c r="B591" s="24"/>
    </row>
    <row r="592" spans="1:2" x14ac:dyDescent="0.2">
      <c r="A592" s="21">
        <v>1</v>
      </c>
      <c r="B592" s="25" t="s">
        <v>761</v>
      </c>
    </row>
    <row r="593" spans="1:2" x14ac:dyDescent="0.2">
      <c r="A593" s="21">
        <v>2</v>
      </c>
      <c r="B593" s="25" t="s">
        <v>757</v>
      </c>
    </row>
    <row r="594" spans="1:2" x14ac:dyDescent="0.2">
      <c r="A594" s="21">
        <v>3</v>
      </c>
      <c r="B594" s="25" t="s">
        <v>758</v>
      </c>
    </row>
    <row r="595" spans="1:2" x14ac:dyDescent="0.2">
      <c r="A595" s="21">
        <v>4</v>
      </c>
      <c r="B595" s="25" t="s">
        <v>759</v>
      </c>
    </row>
    <row r="596" spans="1:2" x14ac:dyDescent="0.2">
      <c r="A596" s="21"/>
      <c r="B596" s="21"/>
    </row>
    <row r="597" spans="1:2" x14ac:dyDescent="0.2">
      <c r="A597" s="23" t="s">
        <v>233</v>
      </c>
      <c r="B597" s="24"/>
    </row>
    <row r="598" spans="1:2" ht="25.5" x14ac:dyDescent="0.2">
      <c r="A598" s="21">
        <v>1</v>
      </c>
      <c r="B598" s="25" t="s">
        <v>762</v>
      </c>
    </row>
    <row r="599" spans="1:2" x14ac:dyDescent="0.2">
      <c r="A599" s="21">
        <v>2</v>
      </c>
      <c r="B599" s="25" t="s">
        <v>757</v>
      </c>
    </row>
    <row r="600" spans="1:2" x14ac:dyDescent="0.2">
      <c r="A600" s="21">
        <v>3</v>
      </c>
      <c r="B600" s="25" t="s">
        <v>758</v>
      </c>
    </row>
    <row r="601" spans="1:2" x14ac:dyDescent="0.2">
      <c r="A601" s="21">
        <v>4</v>
      </c>
      <c r="B601" s="25" t="s">
        <v>759</v>
      </c>
    </row>
    <row r="602" spans="1:2" x14ac:dyDescent="0.2">
      <c r="A602" s="21"/>
      <c r="B602" s="21"/>
    </row>
    <row r="603" spans="1:2" x14ac:dyDescent="0.2">
      <c r="A603" s="23" t="s">
        <v>312</v>
      </c>
      <c r="B603" s="24"/>
    </row>
    <row r="604" spans="1:2" x14ac:dyDescent="0.2">
      <c r="A604" s="21">
        <v>1</v>
      </c>
      <c r="B604" s="25" t="s">
        <v>763</v>
      </c>
    </row>
    <row r="605" spans="1:2" x14ac:dyDescent="0.2">
      <c r="A605" s="21">
        <v>2</v>
      </c>
      <c r="B605" s="25" t="s">
        <v>764</v>
      </c>
    </row>
    <row r="606" spans="1:2" ht="25.5" x14ac:dyDescent="0.2">
      <c r="A606" s="21">
        <v>3</v>
      </c>
      <c r="B606" s="25" t="s">
        <v>765</v>
      </c>
    </row>
    <row r="607" spans="1:2" x14ac:dyDescent="0.2">
      <c r="A607" s="21">
        <v>4</v>
      </c>
      <c r="B607" s="25" t="s">
        <v>766</v>
      </c>
    </row>
    <row r="608" spans="1:2" x14ac:dyDescent="0.2">
      <c r="A608" s="21"/>
      <c r="B608" s="21"/>
    </row>
    <row r="609" spans="1:2" x14ac:dyDescent="0.2">
      <c r="A609" s="23" t="s">
        <v>314</v>
      </c>
      <c r="B609" s="24"/>
    </row>
    <row r="610" spans="1:2" x14ac:dyDescent="0.2">
      <c r="A610" s="21">
        <v>1</v>
      </c>
      <c r="B610" s="25" t="s">
        <v>767</v>
      </c>
    </row>
    <row r="611" spans="1:2" x14ac:dyDescent="0.2">
      <c r="A611" s="21">
        <v>2</v>
      </c>
      <c r="B611" s="25" t="s">
        <v>768</v>
      </c>
    </row>
    <row r="612" spans="1:2" ht="87.75" x14ac:dyDescent="0.2">
      <c r="A612" s="21">
        <v>3</v>
      </c>
      <c r="B612" s="26" t="s">
        <v>769</v>
      </c>
    </row>
    <row r="613" spans="1:2" ht="25.5" x14ac:dyDescent="0.2">
      <c r="A613" s="21">
        <v>4</v>
      </c>
      <c r="B613" s="25" t="s">
        <v>770</v>
      </c>
    </row>
    <row r="614" spans="1:2" x14ac:dyDescent="0.2">
      <c r="A614" s="21"/>
      <c r="B614" s="21"/>
    </row>
    <row r="615" spans="1:2" x14ac:dyDescent="0.2">
      <c r="A615" s="23" t="s">
        <v>316</v>
      </c>
      <c r="B615" s="24"/>
    </row>
    <row r="616" spans="1:2" x14ac:dyDescent="0.2">
      <c r="A616" s="21">
        <v>1</v>
      </c>
      <c r="B616" s="25" t="s">
        <v>771</v>
      </c>
    </row>
    <row r="617" spans="1:2" x14ac:dyDescent="0.2">
      <c r="A617" s="21">
        <v>2</v>
      </c>
      <c r="B617" s="25" t="s">
        <v>772</v>
      </c>
    </row>
    <row r="618" spans="1:2" ht="25.5" x14ac:dyDescent="0.2">
      <c r="A618" s="21">
        <v>3</v>
      </c>
      <c r="B618" s="25" t="s">
        <v>773</v>
      </c>
    </row>
    <row r="619" spans="1:2" x14ac:dyDescent="0.2">
      <c r="A619" s="21">
        <v>4</v>
      </c>
      <c r="B619" s="25" t="s">
        <v>774</v>
      </c>
    </row>
    <row r="620" spans="1:2" x14ac:dyDescent="0.2">
      <c r="A620" s="21"/>
      <c r="B620" s="21"/>
    </row>
    <row r="621" spans="1:2" x14ac:dyDescent="0.2">
      <c r="A621" s="23" t="s">
        <v>318</v>
      </c>
      <c r="B621" s="24"/>
    </row>
    <row r="622" spans="1:2" x14ac:dyDescent="0.2">
      <c r="A622" s="21">
        <v>1</v>
      </c>
      <c r="B622" s="25" t="s">
        <v>775</v>
      </c>
    </row>
    <row r="623" spans="1:2" x14ac:dyDescent="0.2">
      <c r="A623" s="21">
        <v>2</v>
      </c>
      <c r="B623" s="25" t="s">
        <v>776</v>
      </c>
    </row>
    <row r="624" spans="1:2" x14ac:dyDescent="0.2">
      <c r="A624" s="21">
        <v>3</v>
      </c>
      <c r="B624" s="25" t="s">
        <v>777</v>
      </c>
    </row>
    <row r="625" spans="1:2" x14ac:dyDescent="0.2">
      <c r="A625" s="21">
        <v>4</v>
      </c>
      <c r="B625" s="25" t="s">
        <v>778</v>
      </c>
    </row>
    <row r="626" spans="1:2" x14ac:dyDescent="0.2">
      <c r="A626" s="21"/>
      <c r="B626" s="21"/>
    </row>
    <row r="627" spans="1:2" x14ac:dyDescent="0.2">
      <c r="A627" s="23" t="s">
        <v>322</v>
      </c>
      <c r="B627" s="24"/>
    </row>
    <row r="628" spans="1:2" x14ac:dyDescent="0.2">
      <c r="A628" s="21">
        <v>1</v>
      </c>
      <c r="B628" s="25" t="s">
        <v>779</v>
      </c>
    </row>
    <row r="629" spans="1:2" x14ac:dyDescent="0.2">
      <c r="A629" s="21">
        <v>2</v>
      </c>
      <c r="B629" s="25" t="s">
        <v>780</v>
      </c>
    </row>
    <row r="630" spans="1:2" x14ac:dyDescent="0.2">
      <c r="A630" s="21">
        <v>3</v>
      </c>
      <c r="B630" s="25" t="s">
        <v>781</v>
      </c>
    </row>
    <row r="631" spans="1:2" x14ac:dyDescent="0.2">
      <c r="A631" s="21">
        <v>4</v>
      </c>
      <c r="B631" s="25" t="s">
        <v>782</v>
      </c>
    </row>
    <row r="632" spans="1:2" x14ac:dyDescent="0.2">
      <c r="A632" s="21"/>
      <c r="B632" s="21"/>
    </row>
    <row r="633" spans="1:2" x14ac:dyDescent="0.2">
      <c r="A633" s="23" t="s">
        <v>324</v>
      </c>
      <c r="B633" s="24"/>
    </row>
    <row r="634" spans="1:2" ht="25.5" x14ac:dyDescent="0.2">
      <c r="A634" s="21">
        <v>1</v>
      </c>
      <c r="B634" s="25" t="s">
        <v>783</v>
      </c>
    </row>
    <row r="635" spans="1:2" x14ac:dyDescent="0.2">
      <c r="A635" s="21">
        <v>2</v>
      </c>
      <c r="B635" s="25" t="s">
        <v>784</v>
      </c>
    </row>
    <row r="636" spans="1:2" x14ac:dyDescent="0.2">
      <c r="A636" s="21">
        <v>3</v>
      </c>
      <c r="B636" s="25" t="s">
        <v>785</v>
      </c>
    </row>
    <row r="637" spans="1:2" ht="25.5" x14ac:dyDescent="0.2">
      <c r="A637" s="21">
        <v>4</v>
      </c>
      <c r="B637" s="25" t="s">
        <v>786</v>
      </c>
    </row>
    <row r="638" spans="1:2" x14ac:dyDescent="0.2">
      <c r="A638" s="21"/>
      <c r="B638" s="21"/>
    </row>
    <row r="639" spans="1:2" x14ac:dyDescent="0.2">
      <c r="A639" s="23" t="s">
        <v>326</v>
      </c>
      <c r="B639" s="24"/>
    </row>
    <row r="640" spans="1:2" ht="25.5" x14ac:dyDescent="0.2">
      <c r="A640" s="21">
        <v>1</v>
      </c>
      <c r="B640" s="25" t="s">
        <v>787</v>
      </c>
    </row>
    <row r="641" spans="1:2" x14ac:dyDescent="0.2">
      <c r="A641" s="21">
        <v>2</v>
      </c>
      <c r="B641" s="25" t="s">
        <v>788</v>
      </c>
    </row>
    <row r="642" spans="1:2" x14ac:dyDescent="0.2">
      <c r="A642" s="21">
        <v>3</v>
      </c>
      <c r="B642" s="25" t="s">
        <v>789</v>
      </c>
    </row>
    <row r="643" spans="1:2" x14ac:dyDescent="0.2">
      <c r="A643" s="21">
        <v>4</v>
      </c>
      <c r="B643" s="25" t="s">
        <v>790</v>
      </c>
    </row>
    <row r="644" spans="1:2" x14ac:dyDescent="0.2">
      <c r="A644" s="21">
        <v>5</v>
      </c>
      <c r="B644" s="25" t="s">
        <v>791</v>
      </c>
    </row>
    <row r="645" spans="1:2" x14ac:dyDescent="0.2">
      <c r="A645" s="21"/>
      <c r="B645" s="21"/>
    </row>
    <row r="646" spans="1:2" x14ac:dyDescent="0.2">
      <c r="A646" s="23" t="s">
        <v>329</v>
      </c>
      <c r="B646" s="24"/>
    </row>
    <row r="647" spans="1:2" ht="25.5" x14ac:dyDescent="0.2">
      <c r="A647" s="21">
        <v>1</v>
      </c>
      <c r="B647" s="25" t="s">
        <v>792</v>
      </c>
    </row>
    <row r="648" spans="1:2" x14ac:dyDescent="0.2">
      <c r="A648" s="21">
        <v>2</v>
      </c>
      <c r="B648" s="25" t="s">
        <v>793</v>
      </c>
    </row>
    <row r="649" spans="1:2" x14ac:dyDescent="0.2">
      <c r="A649" s="21">
        <v>3</v>
      </c>
      <c r="B649" s="25" t="s">
        <v>794</v>
      </c>
    </row>
    <row r="650" spans="1:2" x14ac:dyDescent="0.2">
      <c r="A650" s="21">
        <v>4</v>
      </c>
      <c r="B650" s="25" t="s">
        <v>795</v>
      </c>
    </row>
    <row r="651" spans="1:2" x14ac:dyDescent="0.2">
      <c r="A651" s="21"/>
      <c r="B651" s="21"/>
    </row>
    <row r="652" spans="1:2" x14ac:dyDescent="0.2">
      <c r="A652" s="23" t="s">
        <v>333</v>
      </c>
      <c r="B652" s="24"/>
    </row>
    <row r="653" spans="1:2" x14ac:dyDescent="0.2">
      <c r="A653" s="21">
        <v>1</v>
      </c>
      <c r="B653" s="25" t="s">
        <v>796</v>
      </c>
    </row>
    <row r="654" spans="1:2" x14ac:dyDescent="0.2">
      <c r="A654" s="21">
        <v>2</v>
      </c>
      <c r="B654" s="25" t="s">
        <v>797</v>
      </c>
    </row>
    <row r="655" spans="1:2" ht="25.5" x14ac:dyDescent="0.2">
      <c r="A655" s="21">
        <v>3</v>
      </c>
      <c r="B655" s="25" t="s">
        <v>798</v>
      </c>
    </row>
    <row r="656" spans="1:2" ht="25.5" x14ac:dyDescent="0.2">
      <c r="A656" s="21">
        <v>4</v>
      </c>
      <c r="B656" s="25" t="s">
        <v>799</v>
      </c>
    </row>
    <row r="657" spans="1:2" x14ac:dyDescent="0.2">
      <c r="A657" s="21">
        <v>5</v>
      </c>
      <c r="B657" s="25" t="s">
        <v>800</v>
      </c>
    </row>
    <row r="658" spans="1:2" ht="25.5" x14ac:dyDescent="0.2">
      <c r="A658" s="21">
        <v>6</v>
      </c>
      <c r="B658" s="25" t="s">
        <v>801</v>
      </c>
    </row>
    <row r="659" spans="1:2" x14ac:dyDescent="0.2">
      <c r="A659" s="21"/>
      <c r="B659" s="21"/>
    </row>
    <row r="660" spans="1:2" x14ac:dyDescent="0.2">
      <c r="A660" s="23" t="s">
        <v>335</v>
      </c>
      <c r="B660" s="24"/>
    </row>
    <row r="661" spans="1:2" x14ac:dyDescent="0.2">
      <c r="A661" s="21">
        <v>1</v>
      </c>
      <c r="B661" s="25" t="s">
        <v>802</v>
      </c>
    </row>
    <row r="662" spans="1:2" x14ac:dyDescent="0.2">
      <c r="A662" s="21">
        <v>2</v>
      </c>
      <c r="B662" s="25" t="s">
        <v>797</v>
      </c>
    </row>
    <row r="663" spans="1:2" ht="25.5" x14ac:dyDescent="0.2">
      <c r="A663" s="21">
        <v>3</v>
      </c>
      <c r="B663" s="25" t="s">
        <v>798</v>
      </c>
    </row>
    <row r="664" spans="1:2" ht="25.5" x14ac:dyDescent="0.2">
      <c r="A664" s="21">
        <v>4</v>
      </c>
      <c r="B664" s="25" t="s">
        <v>799</v>
      </c>
    </row>
    <row r="665" spans="1:2" x14ac:dyDescent="0.2">
      <c r="A665" s="21">
        <v>5</v>
      </c>
      <c r="B665" s="25" t="s">
        <v>800</v>
      </c>
    </row>
    <row r="666" spans="1:2" ht="25.5" x14ac:dyDescent="0.2">
      <c r="A666" s="21">
        <v>6</v>
      </c>
      <c r="B666" s="25" t="s">
        <v>801</v>
      </c>
    </row>
    <row r="667" spans="1:2" x14ac:dyDescent="0.2">
      <c r="A667" s="21"/>
      <c r="B667" s="21"/>
    </row>
    <row r="668" spans="1:2" x14ac:dyDescent="0.2">
      <c r="A668" s="23" t="s">
        <v>337</v>
      </c>
      <c r="B668" s="24"/>
    </row>
    <row r="669" spans="1:2" x14ac:dyDescent="0.2">
      <c r="A669" s="21">
        <v>1</v>
      </c>
      <c r="B669" s="25" t="s">
        <v>803</v>
      </c>
    </row>
    <row r="670" spans="1:2" x14ac:dyDescent="0.2">
      <c r="A670" s="21">
        <v>2</v>
      </c>
      <c r="B670" s="25" t="s">
        <v>797</v>
      </c>
    </row>
    <row r="671" spans="1:2" ht="25.5" x14ac:dyDescent="0.2">
      <c r="A671" s="21">
        <v>3</v>
      </c>
      <c r="B671" s="25" t="s">
        <v>798</v>
      </c>
    </row>
    <row r="672" spans="1:2" ht="25.5" x14ac:dyDescent="0.2">
      <c r="A672" s="21">
        <v>4</v>
      </c>
      <c r="B672" s="25" t="s">
        <v>799</v>
      </c>
    </row>
    <row r="673" spans="1:2" x14ac:dyDescent="0.2">
      <c r="A673" s="21">
        <v>5</v>
      </c>
      <c r="B673" s="25" t="s">
        <v>800</v>
      </c>
    </row>
    <row r="674" spans="1:2" ht="25.5" x14ac:dyDescent="0.2">
      <c r="A674" s="21">
        <v>6</v>
      </c>
      <c r="B674" s="25" t="s">
        <v>801</v>
      </c>
    </row>
    <row r="675" spans="1:2" x14ac:dyDescent="0.2">
      <c r="A675" s="21"/>
      <c r="B675" s="21"/>
    </row>
    <row r="676" spans="1:2" x14ac:dyDescent="0.2">
      <c r="A676" s="23" t="s">
        <v>339</v>
      </c>
      <c r="B676" s="24"/>
    </row>
    <row r="677" spans="1:2" x14ac:dyDescent="0.2">
      <c r="A677" s="21">
        <v>1</v>
      </c>
      <c r="B677" s="25" t="s">
        <v>804</v>
      </c>
    </row>
    <row r="678" spans="1:2" x14ac:dyDescent="0.2">
      <c r="A678" s="21">
        <v>2</v>
      </c>
      <c r="B678" s="25" t="s">
        <v>797</v>
      </c>
    </row>
    <row r="679" spans="1:2" ht="25.5" x14ac:dyDescent="0.2">
      <c r="A679" s="21">
        <v>3</v>
      </c>
      <c r="B679" s="25" t="s">
        <v>798</v>
      </c>
    </row>
    <row r="680" spans="1:2" ht="25.5" x14ac:dyDescent="0.2">
      <c r="A680" s="21">
        <v>4</v>
      </c>
      <c r="B680" s="25" t="s">
        <v>799</v>
      </c>
    </row>
    <row r="681" spans="1:2" x14ac:dyDescent="0.2">
      <c r="A681" s="21">
        <v>5</v>
      </c>
      <c r="B681" s="25" t="s">
        <v>800</v>
      </c>
    </row>
    <row r="682" spans="1:2" ht="25.5" x14ac:dyDescent="0.2">
      <c r="A682" s="21">
        <v>6</v>
      </c>
      <c r="B682" s="25" t="s">
        <v>801</v>
      </c>
    </row>
    <row r="683" spans="1:2" x14ac:dyDescent="0.2">
      <c r="A683" s="21"/>
      <c r="B683" s="21"/>
    </row>
    <row r="684" spans="1:2" ht="25.5" x14ac:dyDescent="0.2">
      <c r="A684" s="23" t="s">
        <v>341</v>
      </c>
      <c r="B684" s="24"/>
    </row>
    <row r="685" spans="1:2" x14ac:dyDescent="0.2">
      <c r="A685" s="21">
        <v>1</v>
      </c>
      <c r="B685" s="25" t="s">
        <v>805</v>
      </c>
    </row>
    <row r="686" spans="1:2" x14ac:dyDescent="0.2">
      <c r="A686" s="21">
        <v>2</v>
      </c>
      <c r="B686" s="25" t="s">
        <v>797</v>
      </c>
    </row>
    <row r="687" spans="1:2" ht="25.5" x14ac:dyDescent="0.2">
      <c r="A687" s="21">
        <v>3</v>
      </c>
      <c r="B687" s="25" t="s">
        <v>798</v>
      </c>
    </row>
    <row r="688" spans="1:2" ht="25.5" x14ac:dyDescent="0.2">
      <c r="A688" s="21">
        <v>4</v>
      </c>
      <c r="B688" s="25" t="s">
        <v>799</v>
      </c>
    </row>
    <row r="689" spans="1:2" x14ac:dyDescent="0.2">
      <c r="A689" s="21">
        <v>5</v>
      </c>
      <c r="B689" s="25" t="s">
        <v>800</v>
      </c>
    </row>
    <row r="690" spans="1:2" ht="25.5" x14ac:dyDescent="0.2">
      <c r="A690" s="21">
        <v>6</v>
      </c>
      <c r="B690" s="25" t="s">
        <v>801</v>
      </c>
    </row>
    <row r="691" spans="1:2" x14ac:dyDescent="0.2">
      <c r="A691" s="21"/>
      <c r="B691" s="21"/>
    </row>
    <row r="692" spans="1:2" ht="25.5" x14ac:dyDescent="0.2">
      <c r="A692" s="23" t="s">
        <v>343</v>
      </c>
      <c r="B692" s="24"/>
    </row>
    <row r="693" spans="1:2" x14ac:dyDescent="0.2">
      <c r="A693" s="21">
        <v>1</v>
      </c>
      <c r="B693" s="25" t="s">
        <v>806</v>
      </c>
    </row>
    <row r="694" spans="1:2" x14ac:dyDescent="0.2">
      <c r="A694" s="21">
        <v>2</v>
      </c>
      <c r="B694" s="25" t="s">
        <v>797</v>
      </c>
    </row>
    <row r="695" spans="1:2" ht="25.5" x14ac:dyDescent="0.2">
      <c r="A695" s="21">
        <v>3</v>
      </c>
      <c r="B695" s="25" t="s">
        <v>798</v>
      </c>
    </row>
    <row r="696" spans="1:2" ht="25.5" x14ac:dyDescent="0.2">
      <c r="A696" s="21">
        <v>4</v>
      </c>
      <c r="B696" s="25" t="s">
        <v>799</v>
      </c>
    </row>
    <row r="697" spans="1:2" x14ac:dyDescent="0.2">
      <c r="A697" s="21">
        <v>5</v>
      </c>
      <c r="B697" s="25" t="s">
        <v>800</v>
      </c>
    </row>
    <row r="698" spans="1:2" ht="25.5" x14ac:dyDescent="0.2">
      <c r="A698" s="21">
        <v>6</v>
      </c>
      <c r="B698" s="25" t="s">
        <v>801</v>
      </c>
    </row>
    <row r="699" spans="1:2" x14ac:dyDescent="0.2">
      <c r="A699" s="21"/>
      <c r="B699" s="21"/>
    </row>
    <row r="700" spans="1:2" x14ac:dyDescent="0.2">
      <c r="A700" s="21"/>
      <c r="B700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8A15B-97E3-4726-9C59-3A2D8CE22AB0}">
  <sheetPr codeName="Лист3"/>
  <dimension ref="A1:AZ60"/>
  <sheetViews>
    <sheetView workbookViewId="0"/>
  </sheetViews>
  <sheetFormatPr defaultRowHeight="15" x14ac:dyDescent="0.25"/>
  <cols>
    <col min="1" max="36" width="4.42578125" customWidth="1"/>
    <col min="52" max="52" width="0" hidden="1" customWidth="1"/>
  </cols>
  <sheetData>
    <row r="1" spans="1:52" ht="24" customHeight="1" x14ac:dyDescent="0.25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 t="s">
        <v>9</v>
      </c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Z1" t="s">
        <v>7</v>
      </c>
    </row>
    <row r="2" spans="1:52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Z2" t="s">
        <v>8</v>
      </c>
    </row>
    <row r="3" spans="1:52" ht="14.1" customHeight="1" x14ac:dyDescent="0.2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52" ht="14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5" t="s">
        <v>10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52" ht="14.1" customHeigh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</row>
    <row r="6" spans="1:52" ht="14.1" customHeight="1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</row>
    <row r="7" spans="1:52" ht="14.1" customHeight="1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6" t="s">
        <v>11</v>
      </c>
      <c r="T7" s="6"/>
      <c r="U7" s="6"/>
      <c r="V7" s="6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4"/>
    </row>
    <row r="8" spans="1:52" ht="14.1" customHeight="1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6" t="s">
        <v>2</v>
      </c>
      <c r="T8" s="6"/>
      <c r="U8" s="6"/>
      <c r="V8" s="6"/>
      <c r="W8" s="7"/>
      <c r="X8" s="7"/>
      <c r="Y8" s="7"/>
      <c r="Z8" s="7"/>
      <c r="AA8" s="7" t="s">
        <v>12</v>
      </c>
      <c r="AB8" s="7"/>
      <c r="AC8" s="7"/>
      <c r="AD8" s="7"/>
      <c r="AE8" s="7"/>
      <c r="AF8" s="7"/>
      <c r="AG8" s="7"/>
      <c r="AH8" s="7"/>
      <c r="AI8" s="7"/>
      <c r="AJ8" s="4"/>
    </row>
    <row r="9" spans="1:52" ht="14.1" customHeight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6" t="s">
        <v>3</v>
      </c>
      <c r="T9" s="6"/>
      <c r="U9" s="6"/>
      <c r="V9" s="6"/>
      <c r="W9" s="7"/>
      <c r="X9" s="7"/>
      <c r="Y9" s="7"/>
      <c r="Z9" s="7"/>
      <c r="AA9" s="7" t="s">
        <v>13</v>
      </c>
      <c r="AB9" s="7"/>
      <c r="AC9" s="7"/>
      <c r="AD9" s="7"/>
      <c r="AE9" s="7"/>
      <c r="AF9" s="7"/>
      <c r="AG9" s="7"/>
      <c r="AH9" s="7"/>
      <c r="AI9" s="7"/>
      <c r="AJ9" s="4"/>
    </row>
    <row r="10" spans="1:52" ht="14.1" customHeight="1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6" t="s">
        <v>4</v>
      </c>
      <c r="T10" s="6"/>
      <c r="U10" s="6"/>
      <c r="V10" s="6"/>
      <c r="W10" s="7"/>
      <c r="X10" s="7"/>
      <c r="Y10" s="7"/>
      <c r="Z10" s="7"/>
      <c r="AA10" s="7" t="s">
        <v>13</v>
      </c>
      <c r="AB10" s="7"/>
      <c r="AC10" s="7"/>
      <c r="AD10" s="7"/>
      <c r="AE10" s="7"/>
      <c r="AF10" s="7"/>
      <c r="AG10" s="7"/>
      <c r="AH10" s="7"/>
      <c r="AI10" s="7"/>
      <c r="AJ10" s="4"/>
    </row>
    <row r="11" spans="1:52" ht="14.1" customHeight="1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6" t="s">
        <v>14</v>
      </c>
      <c r="T11" s="6"/>
      <c r="U11" s="6"/>
      <c r="V11" s="6"/>
      <c r="W11" s="7" t="s">
        <v>15</v>
      </c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4"/>
    </row>
    <row r="12" spans="1:52" ht="14.1" customHeight="1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6" t="s">
        <v>16</v>
      </c>
      <c r="T12" s="6"/>
      <c r="U12" s="6"/>
      <c r="V12" s="6"/>
      <c r="W12" s="7" t="s">
        <v>17</v>
      </c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4"/>
    </row>
    <row r="13" spans="1:52" ht="14.1" customHeigh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52" ht="14.1" customHeight="1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52" ht="14.1" customHeight="1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52" ht="14.1" customHeight="1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 t="s">
        <v>18</v>
      </c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</row>
    <row r="17" spans="1:36" ht="14.1" customHeight="1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14.1" customHeight="1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8" t="s">
        <v>19</v>
      </c>
      <c r="T18" s="7"/>
      <c r="U18" s="7"/>
      <c r="V18" s="7"/>
      <c r="W18" s="8" t="s">
        <v>20</v>
      </c>
      <c r="X18" s="7"/>
      <c r="Y18" s="7"/>
      <c r="Z18" s="7"/>
      <c r="AA18" s="8" t="s">
        <v>21</v>
      </c>
      <c r="AB18" s="7"/>
      <c r="AC18" s="7"/>
      <c r="AD18" s="7"/>
      <c r="AE18" s="8" t="s">
        <v>22</v>
      </c>
      <c r="AF18" s="7"/>
      <c r="AG18" s="7"/>
      <c r="AH18" s="7"/>
      <c r="AI18" s="4"/>
      <c r="AJ18" s="4"/>
    </row>
    <row r="19" spans="1:36" ht="14.1" customHeight="1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4"/>
      <c r="AJ19" s="4"/>
    </row>
    <row r="20" spans="1:36" ht="14.1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4"/>
      <c r="AJ20" s="4"/>
    </row>
    <row r="21" spans="1:36" ht="14.1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4"/>
      <c r="AJ21" s="4"/>
    </row>
    <row r="22" spans="1:36" ht="14.1" customHeight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4"/>
      <c r="AJ22" s="4"/>
    </row>
    <row r="23" spans="1:36" ht="14.1" customHeight="1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4"/>
      <c r="AJ23" s="4"/>
    </row>
    <row r="24" spans="1:36" ht="14.1" customHeight="1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4"/>
      <c r="AJ24" s="4"/>
    </row>
    <row r="25" spans="1:36" ht="14.1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4"/>
      <c r="AJ25" s="4"/>
    </row>
    <row r="26" spans="1:36" ht="14.1" customHeight="1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4"/>
      <c r="AJ26" s="4"/>
    </row>
    <row r="27" spans="1:36" ht="14.1" customHeight="1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4"/>
      <c r="AJ27" s="4"/>
    </row>
    <row r="28" spans="1:36" ht="14.1" customHeight="1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4"/>
      <c r="AJ28" s="4"/>
    </row>
    <row r="29" spans="1:36" ht="14.1" customHeight="1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4"/>
      <c r="AJ29" s="4"/>
    </row>
    <row r="30" spans="1:36" ht="14.1" customHeight="1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4"/>
      <c r="AJ30" s="4"/>
    </row>
    <row r="31" spans="1:36" ht="14.1" customHeight="1" x14ac:dyDescent="0.2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4"/>
      <c r="AJ31" s="4"/>
    </row>
    <row r="32" spans="1:36" ht="14.1" customHeight="1" x14ac:dyDescent="0.2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4"/>
      <c r="AJ32" s="4"/>
    </row>
    <row r="33" spans="1:36" ht="14.1" customHeight="1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4"/>
      <c r="AJ33" s="4"/>
    </row>
    <row r="34" spans="1:36" ht="14.1" customHeight="1" x14ac:dyDescent="0.2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4"/>
      <c r="AJ34" s="4"/>
    </row>
    <row r="35" spans="1:36" ht="14.1" customHeight="1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4"/>
      <c r="AJ35" s="4"/>
    </row>
    <row r="36" spans="1:36" ht="14.1" customHeight="1" x14ac:dyDescent="0.2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9" t="s">
        <v>23</v>
      </c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</row>
    <row r="37" spans="1:36" ht="14.1" customHeight="1" x14ac:dyDescent="0.2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</row>
    <row r="38" spans="1:36" ht="14.1" customHeight="1" x14ac:dyDescent="0.25">
      <c r="A38" s="5" t="s">
        <v>0</v>
      </c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</row>
    <row r="39" spans="1:36" ht="14.1" customHeight="1" x14ac:dyDescent="0.2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</row>
    <row r="40" spans="1:36" ht="14.1" customHeight="1" x14ac:dyDescent="0.25">
      <c r="A40" s="8" t="s">
        <v>1</v>
      </c>
      <c r="B40" s="8" t="str">
        <f>"N, "&amp;INDEX(rngUnitSettings,MATCH("Force",INDEX(rngUnitSettings,,1),0),2)</f>
        <v>N, tf</v>
      </c>
      <c r="C40" s="8" t="str">
        <f>"Mx, "&amp;INDEX(rngUnitSettings,MATCH("Moment",INDEX(rngUnitSettings,,1),0),2)</f>
        <v>Mx, tf*m</v>
      </c>
      <c r="D40" s="8" t="str">
        <f>"My, "&amp;INDEX(rngUnitSettings,MATCH("Moment",INDEX(rngUnitSettings,,1),0),2)</f>
        <v>My, tf*m</v>
      </c>
      <c r="E40" s="8" t="s">
        <v>5</v>
      </c>
      <c r="F40" s="8" t="s">
        <v>6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</row>
    <row r="41" spans="1:36" ht="14.1" customHeight="1" x14ac:dyDescent="0.25">
      <c r="A41" s="7"/>
      <c r="B41" s="7"/>
      <c r="C41" s="7"/>
      <c r="D41" s="7"/>
      <c r="E41" s="7"/>
      <c r="F41" s="7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</row>
    <row r="42" spans="1:36" ht="14.1" customHeight="1" x14ac:dyDescent="0.25">
      <c r="A42" s="7"/>
      <c r="B42" s="7"/>
      <c r="C42" s="7"/>
      <c r="D42" s="7"/>
      <c r="E42" s="7"/>
      <c r="F42" s="7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</row>
    <row r="43" spans="1:36" ht="14.1" customHeight="1" x14ac:dyDescent="0.25">
      <c r="A43" s="7"/>
      <c r="B43" s="7"/>
      <c r="C43" s="7"/>
      <c r="D43" s="7"/>
      <c r="E43" s="7"/>
      <c r="F43" s="7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</row>
    <row r="44" spans="1:36" ht="14.1" customHeight="1" x14ac:dyDescent="0.25">
      <c r="A44" s="7"/>
      <c r="B44" s="7"/>
      <c r="C44" s="7"/>
      <c r="D44" s="7"/>
      <c r="E44" s="7"/>
      <c r="F44" s="7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</row>
    <row r="45" spans="1:36" ht="14.1" customHeight="1" x14ac:dyDescent="0.25">
      <c r="A45" s="7"/>
      <c r="B45" s="7"/>
      <c r="C45" s="7"/>
      <c r="D45" s="7"/>
      <c r="E45" s="7"/>
      <c r="F45" s="7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</row>
    <row r="46" spans="1:36" ht="14.1" customHeight="1" x14ac:dyDescent="0.25">
      <c r="A46" s="7"/>
      <c r="B46" s="7"/>
      <c r="C46" s="7"/>
      <c r="D46" s="7"/>
      <c r="E46" s="7"/>
      <c r="F46" s="7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</row>
    <row r="47" spans="1:36" ht="14.1" customHeight="1" x14ac:dyDescent="0.25">
      <c r="A47" s="7"/>
      <c r="B47" s="7"/>
      <c r="C47" s="7"/>
      <c r="D47" s="7"/>
      <c r="E47" s="7"/>
      <c r="F47" s="7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</row>
    <row r="48" spans="1:36" ht="14.1" customHeight="1" x14ac:dyDescent="0.25">
      <c r="A48" s="7"/>
      <c r="B48" s="7"/>
      <c r="C48" s="7"/>
      <c r="D48" s="7"/>
      <c r="E48" s="7"/>
      <c r="F48" s="7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</row>
    <row r="49" spans="1:36" ht="14.1" customHeight="1" x14ac:dyDescent="0.25">
      <c r="A49" s="7"/>
      <c r="B49" s="7"/>
      <c r="C49" s="7"/>
      <c r="D49" s="7"/>
      <c r="E49" s="7"/>
      <c r="F49" s="7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</row>
    <row r="50" spans="1:36" ht="14.1" customHeight="1" x14ac:dyDescent="0.25">
      <c r="A50" s="7"/>
      <c r="B50" s="7"/>
      <c r="C50" s="7"/>
      <c r="D50" s="7"/>
      <c r="E50" s="7"/>
      <c r="F50" s="7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</row>
    <row r="51" spans="1:36" x14ac:dyDescent="0.25">
      <c r="A51" s="7"/>
      <c r="B51" s="7"/>
      <c r="C51" s="7"/>
      <c r="D51" s="7"/>
      <c r="E51" s="7"/>
      <c r="F51" s="7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</row>
    <row r="52" spans="1:36" x14ac:dyDescent="0.25">
      <c r="A52" s="7"/>
      <c r="B52" s="7"/>
      <c r="C52" s="7"/>
      <c r="D52" s="7"/>
      <c r="E52" s="7"/>
      <c r="F52" s="7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</row>
    <row r="53" spans="1:36" x14ac:dyDescent="0.25">
      <c r="A53" s="7"/>
      <c r="B53" s="7"/>
      <c r="C53" s="7"/>
      <c r="D53" s="7"/>
      <c r="E53" s="7"/>
      <c r="F53" s="7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</row>
    <row r="54" spans="1:36" x14ac:dyDescent="0.25">
      <c r="A54" s="7"/>
      <c r="B54" s="7"/>
      <c r="C54" s="7"/>
      <c r="D54" s="7"/>
      <c r="E54" s="7"/>
      <c r="F54" s="7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</row>
    <row r="55" spans="1:36" x14ac:dyDescent="0.25">
      <c r="A55" s="7"/>
      <c r="B55" s="7"/>
      <c r="C55" s="7"/>
      <c r="D55" s="7"/>
      <c r="E55" s="7"/>
      <c r="F55" s="7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</row>
    <row r="56" spans="1:36" x14ac:dyDescent="0.25">
      <c r="A56" s="7"/>
      <c r="B56" s="7"/>
      <c r="C56" s="7"/>
      <c r="D56" s="7"/>
      <c r="E56" s="7"/>
      <c r="F56" s="7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</row>
    <row r="57" spans="1:36" x14ac:dyDescent="0.25">
      <c r="A57" s="7"/>
      <c r="B57" s="7"/>
      <c r="C57" s="7"/>
      <c r="D57" s="7"/>
      <c r="E57" s="7"/>
      <c r="F57" s="7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</row>
    <row r="58" spans="1:36" x14ac:dyDescent="0.25">
      <c r="A58" s="7"/>
      <c r="B58" s="7"/>
      <c r="C58" s="7"/>
      <c r="D58" s="7"/>
      <c r="E58" s="7"/>
      <c r="F58" s="7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</row>
    <row r="59" spans="1:36" x14ac:dyDescent="0.25">
      <c r="A59" s="7"/>
      <c r="B59" s="7"/>
      <c r="C59" s="7"/>
      <c r="D59" s="7"/>
      <c r="E59" s="7"/>
      <c r="F59" s="7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</row>
    <row r="60" spans="1:36" x14ac:dyDescent="0.25">
      <c r="A60" s="7"/>
      <c r="B60" s="7"/>
      <c r="C60" s="7"/>
      <c r="D60" s="7"/>
      <c r="E60" s="7"/>
      <c r="F60" s="7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</row>
  </sheetData>
  <mergeCells count="6">
    <mergeCell ref="A1:R2"/>
    <mergeCell ref="A38:R38"/>
    <mergeCell ref="S1:AJ2"/>
    <mergeCell ref="S4:AJ4"/>
    <mergeCell ref="S16:AJ16"/>
    <mergeCell ref="S36:AJ36"/>
  </mergeCells>
  <dataValidations count="1">
    <dataValidation type="list" showInputMessage="1" showErrorMessage="1" sqref="E41:E60" xr:uid="{4BEC2287-3F7F-4856-B455-98F995CA8F9A}">
      <formula1>$AZ$1:$AZ$2</formula1>
    </dataValidation>
  </dataValidations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D247B-115E-4DB5-BFC0-4684F802B797}">
  <sheetPr codeName="Лист4"/>
  <dimension ref="A1:AY32"/>
  <sheetViews>
    <sheetView workbookViewId="0"/>
  </sheetViews>
  <sheetFormatPr defaultRowHeight="15" x14ac:dyDescent="0.25"/>
  <cols>
    <col min="1" max="1" width="20.7109375" customWidth="1"/>
    <col min="10" max="10" width="20.7109375" customWidth="1"/>
    <col min="29" max="29" width="20.7109375" customWidth="1"/>
    <col min="38" max="38" width="20.7109375" customWidth="1"/>
  </cols>
  <sheetData>
    <row r="1" spans="1:3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32" spans="1:51" x14ac:dyDescent="0.25">
      <c r="A32" s="1"/>
      <c r="B32" s="1"/>
      <c r="C32" s="1"/>
      <c r="D32" s="1"/>
      <c r="E32" s="1"/>
      <c r="F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AC32" s="1"/>
      <c r="AD32" s="1"/>
      <c r="AE32" s="1"/>
      <c r="AF32" s="1"/>
      <c r="AG32" s="1"/>
      <c r="AH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17</vt:i4>
      </vt:variant>
    </vt:vector>
  </HeadingPairs>
  <TitlesOfParts>
    <vt:vector size="21" baseType="lpstr">
      <vt:lpstr>Config</vt:lpstr>
      <vt:lpstr>Инструкции</vt:lpstr>
      <vt:lpstr>Расчет</vt:lpstr>
      <vt:lpstr>Results</vt:lpstr>
      <vt:lpstr>rngBatchSummary</vt:lpstr>
      <vt:lpstr>rngCircleGeometry</vt:lpstr>
      <vt:lpstr>rngConcreteDiagramPoints</vt:lpstr>
      <vt:lpstr>rngLoadCombinations</vt:lpstr>
      <vt:lpstr>rngLShapeGeometry</vt:lpstr>
      <vt:lpstr>rngNDMElementResults</vt:lpstr>
      <vt:lpstr>rngNDMSectionAnnotations</vt:lpstr>
      <vt:lpstr>rngNDMSectionGeometry</vt:lpstr>
      <vt:lpstr>rngNDMSectionProperties</vt:lpstr>
      <vt:lpstr>rngPlotAnnotationSettings</vt:lpstr>
      <vt:lpstr>rngResultSection</vt:lpstr>
      <vt:lpstr>rngRoundedRectangleGeometry</vt:lpstr>
      <vt:lpstr>rngSignConventionSettings</vt:lpstr>
      <vt:lpstr>rngSteelDiagramPoints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2026-08-22T21:01:03Z</dcterms:created>
  <dcterms:modified xsi:type="dcterms:W3CDTF">2026-08-22T21:02:04Z</dcterms:modified>
</cp:coreProperties>
</file>