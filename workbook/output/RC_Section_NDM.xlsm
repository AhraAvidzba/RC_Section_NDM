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13_ncr:1_{4429E1DE-97AE-4E60-ADED-125759750611}" xr6:coauthVersionLast="36" xr6:coauthVersionMax="36" xr10:uidLastSave="{00000000-0000-0000-0000-000000000000}"/>
  <bookViews>
    <workbookView xWindow="0" yWindow="0" windowWidth="38370" windowHeight="19980" xr2:uid="{68D0E0CB-BCBE-4388-89FF-8BED9A8EA602}"/>
  </bookViews>
  <sheets>
    <sheet name="Расчет" sheetId="3" r:id="rId1"/>
    <sheet name="System" sheetId="2" r:id="rId2"/>
    <sheet name="Results" sheetId="1" r:id="rId3"/>
  </sheets>
  <functionGroups builtInGroupCount="19"/>
  <definedNames>
    <definedName name="rngBatchSummary">Results!$A$1:$N$29</definedName>
    <definedName name="rngCircleGeometry">System!$F$16:$I$25</definedName>
    <definedName name="rngConcreteDiagramPoints">System!$F$4:$H$13</definedName>
    <definedName name="rngLoadCombinations">Расчет!$A$40:$G$60</definedName>
    <definedName name="rngLShapeGeometry">System!$F$30:$L$48</definedName>
    <definedName name="rngNDMElementResults">Results!$A$32</definedName>
    <definedName name="rngNDMSectionAnnotations">Results!$AL$32</definedName>
    <definedName name="rngNDMSectionGeometry">Results!$J$32</definedName>
    <definedName name="rngNDMSectionProperties">Results!$AC$32</definedName>
    <definedName name="rngPlotAnnotationSettings">System!$N$20:$R$32</definedName>
    <definedName name="rngResultSection">Расчет!$S$17:$AH$35</definedName>
    <definedName name="rngRoundedRectangleGeometry">System!$J$16:$M$22</definedName>
    <definedName name="rngSignConventionSettings">System!$N$13:$P$16</definedName>
    <definedName name="rngSteelDiagramPoints">System!$J$4:$L$13</definedName>
    <definedName name="rngSystemSettings">System!$A$3:$D$101</definedName>
    <definedName name="rngUnitSettings">System!$N$3:$Q$9</definedName>
    <definedName name="_xlnm.Print_Area" localSheetId="0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Z21" i="2" l="1"/>
  <c r="CZ20" i="2"/>
  <c r="CZ19" i="2"/>
  <c r="CZ18" i="2"/>
  <c r="CZ17" i="2"/>
  <c r="CZ16" i="2"/>
  <c r="CZ15" i="2"/>
  <c r="CZ14" i="2"/>
  <c r="CZ13" i="2"/>
  <c r="CZ12" i="2"/>
  <c r="CZ11" i="2"/>
  <c r="CZ10" i="2"/>
  <c r="CZ9" i="2"/>
  <c r="CZ8" i="2"/>
  <c r="CZ7" i="2"/>
  <c r="CZ6" i="2"/>
  <c r="CZ5" i="2"/>
  <c r="CZ4" i="2"/>
  <c r="CZ3" i="2"/>
  <c r="CZ2" i="2"/>
  <c r="K46" i="2"/>
  <c r="K45" i="2"/>
  <c r="K44" i="2"/>
  <c r="K43" i="2"/>
  <c r="K41" i="2"/>
  <c r="K40" i="2"/>
  <c r="K39" i="2"/>
  <c r="K38" i="2"/>
  <c r="K35" i="2"/>
  <c r="K34" i="2"/>
  <c r="K33" i="2"/>
  <c r="K32" i="2"/>
  <c r="K31" i="2"/>
  <c r="L22" i="2"/>
  <c r="L21" i="2"/>
  <c r="L20" i="2"/>
  <c r="L19" i="2"/>
  <c r="L18" i="2"/>
  <c r="L17" i="2"/>
  <c r="H23" i="2"/>
  <c r="H22" i="2"/>
  <c r="H20" i="2"/>
  <c r="H18" i="2"/>
  <c r="H17" i="2"/>
  <c r="L3" i="2"/>
  <c r="H3" i="2"/>
  <c r="C95" i="2"/>
  <c r="C86" i="2"/>
  <c r="C60" i="2"/>
  <c r="C59" i="2"/>
  <c r="C42" i="2"/>
  <c r="C37" i="2"/>
  <c r="C36" i="2"/>
  <c r="C35" i="2"/>
  <c r="C27" i="2"/>
  <c r="C26" i="2"/>
  <c r="C25" i="2"/>
  <c r="C18" i="2"/>
  <c r="C17" i="2"/>
  <c r="C16" i="2"/>
  <c r="C15" i="2"/>
  <c r="C14" i="2"/>
  <c r="C10" i="2"/>
  <c r="C9" i="2"/>
  <c r="C7" i="2"/>
  <c r="D40" i="3"/>
  <c r="C40" i="3"/>
  <c r="B40" i="3"/>
</calcChain>
</file>

<file path=xl/sharedStrings.xml><?xml version="1.0" encoding="utf-8"?>
<sst xmlns="http://schemas.openxmlformats.org/spreadsheetml/2006/main" count="2260" uniqueCount="781">
  <si>
    <t>Сочетания нагрузок</t>
  </si>
  <si>
    <t>CombinationID</t>
  </si>
  <si>
    <t>N</t>
  </si>
  <si>
    <t>Mx</t>
  </si>
  <si>
    <t>My</t>
  </si>
  <si>
    <t>CalculationType</t>
  </si>
  <si>
    <t>DurationType</t>
  </si>
  <si>
    <t>Comment</t>
  </si>
  <si>
    <t>Расчет N + Mx + My</t>
  </si>
  <si>
    <t>Расчет по прочности и трещиностойкости</t>
  </si>
  <si>
    <t>Сочетание</t>
  </si>
  <si>
    <t>Н</t>
  </si>
  <si>
    <t>Н*мм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</si>
  <si>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</si>
  <si>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</si>
  <si>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</si>
  <si>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</si>
  <si>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</si>
  <si>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Значение</t>
  </si>
  <si>
    <t>Ед.</t>
  </si>
  <si>
    <t>Комментарий</t>
  </si>
  <si>
    <t>Диагностика</t>
  </si>
  <si>
    <t>System</t>
  </si>
  <si>
    <t>Параметр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</si>
  <si>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</si>
  <si>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</si>
  <si>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</si>
  <si>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</si>
  <si>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</si>
  <si>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</si>
  <si>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</si>
  <si>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</si>
  <si>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</si>
  <si>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</si>
  <si>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</si>
  <si>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</si>
  <si>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</si>
  <si>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</si>
  <si>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приведенного сечения. 0 означает, что Mx/My заданы относительно этого центра.</t>
  </si>
  <si>
    <t>Load.ReferenceOffsetY</t>
  </si>
  <si>
    <t>Смещение точки приложения нагрузок по Y относительно центра тяжести приведенного сечения. Рабочие моменты для решателя автоматически переносятся к текущим координатам волокон.</t>
  </si>
  <si>
    <t>[Бетон и диаграмма]</t>
  </si>
  <si>
    <t>Concrete.Class</t>
  </si>
  <si>
    <t>B30</t>
  </si>
  <si>
    <t>Класс бетона для текущего набора параметров.</t>
  </si>
  <si>
    <t>Concrete.Rb.ULS</t>
  </si>
  <si>
    <t>Расчетное сопротивление бетона осевому сжатию.</t>
  </si>
  <si>
    <t>Concrete.Rbt.ULS</t>
  </si>
  <si>
    <t>Расчетное сопротивление бетона осевому растяжению.</t>
  </si>
  <si>
    <t>Concrete.Rb.SLS</t>
  </si>
  <si>
    <t>Сопротивление бетона сжатию для эксплуатационных расчетов.</t>
  </si>
  <si>
    <t>Concrete.Rbt.SLS</t>
  </si>
  <si>
    <t>Сопротивление бетона растяжению для режима UseDiagram.</t>
  </si>
  <si>
    <t>Concrete.Eb</t>
  </si>
  <si>
    <t>Начальный модуль деформации бетона.</t>
  </si>
  <si>
    <t>Concrete.TensionMode</t>
  </si>
  <si>
    <t>Ignore</t>
  </si>
  <si>
    <t>Работа растянутого бетона: Ignore - нулевое напряжение и касательная жесткость; UseDiagram - использовать точки диаграммы бетона в растянутой зоне.</t>
  </si>
  <si>
    <t>Capacity.ConcreteCompressionLimit</t>
  </si>
  <si>
    <t>Предельная сжимающая деформация бетона для фиксации ConcreteStrainLimit при поиске несущей способности.</t>
  </si>
  <si>
    <t>Capacity.ConcreteTensionLimit</t>
  </si>
  <si>
    <t>Предельная растягивающая деформация бетона для ConcreteTensionStrainLimit; используется только при Concrete.TensionMode = UseDiagram.</t>
  </si>
  <si>
    <t>[Арматура и диаграмма]</t>
  </si>
  <si>
    <t>Steel.Class</t>
  </si>
  <si>
    <t>A400</t>
  </si>
  <si>
    <t>Класс обычной ненапрягаемой арматуры.</t>
  </si>
  <si>
    <t>Steel.Rs.ULS</t>
  </si>
  <si>
    <t>Расчетное сопротивление арматуры растяжению.</t>
  </si>
  <si>
    <t>Steel.Rsc.ULS</t>
  </si>
  <si>
    <t>Расчетное сопротивление арматуры сжатию.</t>
  </si>
  <si>
    <t>Steel.Es</t>
  </si>
  <si>
    <t>Модуль упругости обычной ненапрягаемой арматуры.</t>
  </si>
  <si>
    <t>Capacity.SteelStrainLimit</t>
  </si>
  <si>
    <t>Предельная деформация обычной ненапрягаемой арматуры для фиксации SteelStrainLimit при поиске несущей способности.</t>
  </si>
  <si>
    <t>[Решатель равновесия]</t>
  </si>
  <si>
    <t>Calculation.Mode</t>
  </si>
  <si>
    <t>FullCapacity</t>
  </si>
  <si>
    <t>Режим расчета: DirectState - НДС по заданным усилиям; FullCapacity - поиск lambdaUltimate.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</si>
  <si>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</si>
  <si>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</si>
  <si>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</si>
  <si>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</si>
  <si>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</si>
  <si>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</si>
  <si>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</si>
  <si>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</si>
  <si>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силе; меньше значение строже и может увеличить число итераций.</t>
  </si>
  <si>
    <t>Solver.ToleranceMx</t>
  </si>
  <si>
    <t>Применяется к Newton и Secant. Абсолютный допуск равновесия по моменту Mx; меньше значение строже и может увеличить число итераций.</t>
  </si>
  <si>
    <t>Solver.ToleranceMy</t>
  </si>
  <si>
    <t>Применяется к Newton и Secant. Абсолютный допуск равновесия по моменту My; меньше значение строже и может увеличить число итераций.</t>
  </si>
  <si>
    <t>Solver.LineSearchEnabled</t>
  </si>
  <si>
    <t>Yes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</si>
  <si>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</si>
  <si>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</si>
  <si>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</si>
  <si>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</si>
  <si>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</si>
  <si>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</si>
  <si>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</si>
  <si>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</si>
  <si>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</si>
  <si>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</si>
  <si>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</si>
  <si>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</si>
  <si>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</si>
  <si>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несущей способности]</t>
  </si>
  <si>
    <t>Capacity.Method</t>
  </si>
  <si>
    <t>UltimateStrain</t>
  </si>
  <si>
    <t>Актуально для всех расчетов несущей способности. Метод определения: LoadMultiplier - масштабирование заданного вектора моментов; UltimateStrain - прямой поиск состояния по достижению предельной деформации при сохранении направления Mx/My.</t>
  </si>
  <si>
    <t>Capacity.SearchMethod</t>
  </si>
  <si>
    <t>Bisection</t>
  </si>
  <si>
    <t>Метод поиска несущей способности для Capacity.Method = LoadMultiplier. Поддерживается только Bisection, Brent или Secant. Пустое или другое значение дает InputError.</t>
  </si>
  <si>
    <t>Capacity.InitialLambda</t>
  </si>
  <si>
    <t>Актуально только для Capacity.Method = LoadMultiplier. Начальный множитель lambda при поиске верхней границы несущей способности.</t>
  </si>
  <si>
    <t>Capacity.ToleranceLambda</t>
  </si>
  <si>
    <t>Актуально только для Capacity.Method = LoadMultiplier. Общий допуск одномерного поиска lambdaUltimate для Bisection, Brent и Secant.</t>
  </si>
  <si>
    <t>Capacity.MaxRetries</t>
  </si>
  <si>
    <t>Актуально только для Capacity.Method = LoadMultiplier. Число повторов после численной несходимости пробного расчета.</t>
  </si>
  <si>
    <t>Capacity.BaseLoadSteps</t>
  </si>
  <si>
    <t>Актуально только для Capacity.Method = LoadMultiplier. Базовое число ступеней нагрузки внутри CSectionSolver для каждого пробного lambda.</t>
  </si>
  <si>
    <t>Capacity.ToleranceStrain</t>
  </si>
  <si>
    <t>Актуально только для Capacity.Method = UltimateStrain. Абсолютный допуск достижения предельной деформации критического бетонного волокна или стержня.</t>
  </si>
  <si>
    <t>Capacity.MaxLambda</t>
  </si>
  <si>
    <t>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</si>
  <si>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</si>
  <si>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</si>
  <si>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[Вывод и трещины]</t>
  </si>
  <si>
    <t>CrackWidth.Enabled</t>
  </si>
  <si>
    <t>Включить расчет ширины раскрытия уже образовавшихся нормальных трещин.</t>
  </si>
  <si>
    <t>CrackWidth.Allowable</t>
  </si>
  <si>
    <t>Допустимая ширина раскрытия трещин для коэффициента использования.</t>
  </si>
  <si>
    <t>CrackWidth.CrackSpacing</t>
  </si>
  <si>
    <t>Временный параметр расстояния между трещинами до окончательной нормативной трассировки.</t>
  </si>
  <si>
    <t>CrackWidth.StrainFactor</t>
  </si>
  <si>
    <t>Временный коэффициент для прозрачной формулы ширины раскрытия на листе.</t>
  </si>
  <si>
    <t>CrackWidth.DurationFactor</t>
  </si>
  <si>
    <t>Временный коэффициент длительности действия нагрузки.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</si>
  <si>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</si>
  <si>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</si>
  <si>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</si>
  <si>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</si>
  <si>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</si>
  <si>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</si>
  <si>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</si>
  <si>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</si>
  <si>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</si>
  <si>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</si>
  <si>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</si>
  <si>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</si>
  <si>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расчетного snapshot.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</si>
  <si>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</si>
  <si>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</si>
  <si>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</si>
  <si>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</si>
  <si>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</si>
  <si>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знаку напряжения: растяжение, сжатие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</si>
  <si>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</si>
  <si>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</si>
  <si>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знаку напряжения: растяжение, сжатие или нейтральное состояние.</t>
  </si>
  <si>
    <t>AutoCAD.Layer.ConcreteTension</t>
  </si>
  <si>
    <t>Anno_Concrete_Positive</t>
  </si>
  <si>
    <t>Слой для подписей положительных напряжений бетона, то есть растянутых бетонных волокон.</t>
  </si>
  <si>
    <t>AutoCAD.Layer.ConcreteCompression</t>
  </si>
  <si>
    <t>Anno_Concrete_Negative</t>
  </si>
  <si>
    <t>Слой для подписей отрицательных, нулевых и почти нулевых напряжений бетона.</t>
  </si>
  <si>
    <t>AutoCAD.Layer.RebarTension</t>
  </si>
  <si>
    <t>Anno_Rebar_Positive</t>
  </si>
  <si>
    <t>Слой для подписей положительных напряжений арматуры, то есть растянутых стержней.</t>
  </si>
  <si>
    <t>AutoCAD.Layer.RebarCompression</t>
  </si>
  <si>
    <t>Anno_Rebar_Negative</t>
  </si>
  <si>
    <t>Слой для подписей отрицательных, нулевых и почти нулевых напряжений арматуры.</t>
  </si>
  <si>
    <t>AutoCAD.Color.ConcreteTension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</si>
  <si>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</si>
  <si>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</si>
  <si>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</si>
  <si>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</si>
  <si>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</si>
  <si>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</si>
  <si>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</si>
  <si>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</si>
  <si>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</si>
  <si>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</si>
  <si>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</si>
  <si>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</si>
  <si>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</si>
  <si>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Steel.Class берется из System, разные классы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</si>
  <si>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</si>
  <si>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</si>
  <si>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</si>
  <si>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</si>
  <si>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последнему расчетному snapshot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</si>
  <si>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</si>
  <si>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</si>
  <si>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</si>
  <si>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</si>
  <si>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</si>
  <si>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Используется сохраненный snapshot, а не текущие единицы System.</t>
  </si>
  <si>
    <t>Plot.ResultGradient</t>
  </si>
  <si>
    <t>Включить цветовое различение результата на схеме. Цвет физического состояния берется из PhysicalState snapshot.</t>
  </si>
  <si>
    <t>Plot.ResultLabelsEnabled</t>
  </si>
  <si>
    <t>No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</si>
  <si>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</si>
  <si>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</si>
  <si>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</si>
  <si>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</si>
  <si>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</si>
  <si>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</si>
  <si>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</si>
  <si>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</si>
  <si>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</si>
  <si>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</si>
  <si>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расчетного snapshot.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</si>
  <si>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</si>
  <si>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</si>
  <si>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</si>
  <si>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</si>
  <si>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Точки диаграммы бетона</t>
  </si>
  <si>
    <t>Point</t>
  </si>
  <si>
    <t>Strain</t>
  </si>
  <si>
    <t>Точки диаграммы арматуры</t>
  </si>
  <si>
    <t>Units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</si>
  <si>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</si>
  <si>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</si>
  <si>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</si>
  <si>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</si>
  <si>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</si>
  <si>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</si>
  <si>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</si>
  <si>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</si>
  <si>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</si>
  <si>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</si>
  <si>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</si>
  <si>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</si>
  <si>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</si>
  <si>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</si>
  <si>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</si>
  <si>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</si>
  <si>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</si>
  <si>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</si>
  <si>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</si>
  <si>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</si>
  <si>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</si>
  <si>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</si>
  <si>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</si>
  <si>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</si>
  <si>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</si>
  <si>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</si>
  <si>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</si>
  <si>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Sign convention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</si>
  <si>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</si>
  <si>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</si>
  <si>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</si>
  <si>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</si>
  <si>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</si>
  <si>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</si>
  <si>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</si>
  <si>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</si>
  <si>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</si>
  <si>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</si>
  <si>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[Аннотации схемы]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</si>
  <si>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</si>
  <si>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</si>
  <si>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</si>
  <si>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</si>
  <si>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</si>
  <si>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</si>
  <si>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</si>
  <si>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</si>
  <si>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</si>
  <si>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</si>
  <si>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</si>
  <si>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-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</si>
  <si>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</si>
  <si>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</si>
  <si>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</si>
  <si>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</si>
  <si>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</si>
  <si>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</si>
  <si>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</si>
  <si>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</si>
  <si>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</si>
  <si>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</si>
  <si>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</si>
  <si>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</si>
  <si>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</si>
  <si>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</si>
  <si>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Wide</t>
  </si>
  <si>
    <t>Размер стрелок размерной линии.</t>
  </si>
  <si>
    <t>Color</t>
  </si>
  <si>
    <t>20,30,90</t>
  </si>
  <si>
    <t>RGB</t>
  </si>
  <si>
    <t>Цвет текста и основной линии в формате R,G,B.</t>
  </si>
  <si>
    <t>ExtensionLineColor</t>
  </si>
  <si>
    <t>Цвет выносных линий размеров в формате R,G,B.</t>
  </si>
  <si>
    <t>Круглое сечение</t>
  </si>
  <si>
    <t>Circle.Diameter</t>
  </si>
  <si>
    <t>Диаметр круглого сечения.</t>
  </si>
  <si>
    <t>Rebar.AxisDistance</t>
  </si>
  <si>
    <t>Расстояние от грани круга до оси стержней as.</t>
  </si>
  <si>
    <t>Rebar.Count</t>
  </si>
  <si>
    <t>Количество продольных стержней по окружности.</t>
  </si>
  <si>
    <t>Rebar.Diameter</t>
  </si>
  <si>
    <t>Диаметр продольных стержней первого ряда.</t>
  </si>
  <si>
    <t>дополнительные ряды арматуры</t>
  </si>
  <si>
    <t>Параметры дополнительных рядов. Пустой или нулевой диаметр означает, что ряд не создается.</t>
  </si>
  <si>
    <t>Rebar.Diameter2</t>
  </si>
  <si>
    <t>Диаметр стержней второго ряда. Второй ряд строится от стержней первого ряда.</t>
  </si>
  <si>
    <t>Rebar.Diameter3</t>
  </si>
  <si>
    <t>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</si>
  <si>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Rebar.Loc2row</t>
  </si>
  <si>
    <t>Stacked</t>
  </si>
  <si>
    <t>Расположение второго ряда: Stacked - внутрь сечения по радиусу к центру; SideBySide - справа по часовой касательной.</t>
  </si>
  <si>
    <t>Rebar.Loc3row</t>
  </si>
  <si>
    <t>Расположение третьего ряда: Stacked - внутрь сечения по радиусу к центру; SideBySide - справа по часовой касательной.</t>
  </si>
  <si>
    <t>SideBySide</t>
  </si>
  <si>
    <t>Скругленный прямоугольник</t>
  </si>
  <si>
    <t>RoundedRectangle.Width</t>
  </si>
  <si>
    <t>Ширина прямоугольного сечения со скруглениями.</t>
  </si>
  <si>
    <t>RoundedRectangle.Height</t>
  </si>
  <si>
    <t>Высота прямоугольного сечения со скруглениями.</t>
  </si>
  <si>
    <t>RoundedRectangle.RadiusTopLeft</t>
  </si>
  <si>
    <t>Радиус верхнего левого угла.</t>
  </si>
  <si>
    <t>RoundedRectangle.RadiusTopRight</t>
  </si>
  <si>
    <t>Радиус верхнего правого угла.</t>
  </si>
  <si>
    <t>RoundedRectangle.RadiusBottomRight</t>
  </si>
  <si>
    <t>Радиус нижнего правого угла.</t>
  </si>
  <si>
    <t>RoundedRectangle.RadiusBottomLeft</t>
  </si>
  <si>
    <t>Радиус нижнего левого угла.</t>
  </si>
  <si>
    <t>Г-образное сечение</t>
  </si>
  <si>
    <t>H1</t>
  </si>
  <si>
    <t>B1</t>
  </si>
  <si>
    <t>H2</t>
  </si>
  <si>
    <t>B2</t>
  </si>
  <si>
    <t>величина размера</t>
  </si>
  <si>
    <t>H1 и B1 - высота и ширина верхнего прямоугольника; H2 и B2 - высота и ширина нижнего прямоугольника; полная высота сечения равна H1 + H2.</t>
  </si>
  <si>
    <t>as_1</t>
  </si>
  <si>
    <t>Отступ от грани _1. Нумерация граней идет слева направо для H и сверху вниз для B: _1 - левая/верхняя грань.</t>
  </si>
  <si>
    <t>as_2</t>
  </si>
  <si>
    <t>Отступ от грани _2. Нумерация граней идет слева направо для H и сверху вниз для B: _2 - правая/нижняя грань.</t>
  </si>
  <si>
    <t>d_1</t>
  </si>
  <si>
    <t>Диаметр стержней у грани _1; если n_1 = 0, значение не используется.</t>
  </si>
  <si>
    <t>d_2</t>
  </si>
  <si>
    <t>Диаметр стержней у грани _2; если n_2 = 0, значение не используется.</t>
  </si>
  <si>
    <t>n_1</t>
  </si>
  <si>
    <t>Количество стержней у грани _1; 0 означает, что арматура у этой грани не создается.</t>
  </si>
  <si>
    <t>n_2</t>
  </si>
  <si>
    <t>Количество стержней у грани _2; 0 означает, что арматура у этой грани не создается.</t>
  </si>
  <si>
    <t>t1_1</t>
  </si>
  <si>
    <t>Отступ первого стержня от начала грани _1 при обходе по часовой стрелке.</t>
  </si>
  <si>
    <t>t2_1</t>
  </si>
  <si>
    <t>Отступ последнего стержня от конца грани _1 при обходе по часовой стрелке.</t>
  </si>
  <si>
    <t>t1_2</t>
  </si>
  <si>
    <t>Отступ первого стержня от начала грани _2 при обходе по часовой стрелке.</t>
  </si>
  <si>
    <t>t2_2</t>
  </si>
  <si>
    <t>Отступ последнего стержня от конца грани _2 при обходе по часовой стрелке.</t>
  </si>
  <si>
    <t>Параметры дополнительных рядов. Пустой диаметр означает, что ряд не создается. Суффикс _1 - левая грань для H или верхняя грань для B; _2 - правая грань для H или нижняя грань для B.</t>
  </si>
  <si>
    <t>d_2row_1</t>
  </si>
  <si>
    <t>Диаметр стержней второго ряда у грани _1. Если первый ряд этой грани не задан, второй ряд не создается.</t>
  </si>
  <si>
    <t>d_2row_2</t>
  </si>
  <si>
    <t>Диаметр стержней второго ряда у грани _2. Если первый ряд этой грани не задан, второй ряд не создается.</t>
  </si>
  <si>
    <t>d_3row_1</t>
  </si>
  <si>
    <t>Диаметр стержней третьего ряда у грани _1. Ставится относительно первого ряда; при совпадении loc_3row с loc_2row перескакивает второй ряд.</t>
  </si>
  <si>
    <t>d_3row_2</t>
  </si>
  <si>
    <t>Диаметр стержней третьего ряда у грани _2. Ставится относительно первого ряда; при совпадении loc_3row с loc_2row перескакивает второй ряд.</t>
  </si>
  <si>
    <t>loc_2row</t>
  </si>
  <si>
    <t>Расположение второго ряда, общее для граней _1/_2: Stacked - внутрь сечения; SideBySide - для H вниз, для B вправо.</t>
  </si>
  <si>
    <t>loc_3row</t>
  </si>
  <si>
    <t>Расположение третьего ряда, общее для граней _1/_2: Stacked - внутрь сечения; SideBySide - для H вниз, для B вправо.</t>
  </si>
  <si>
    <t>AutoCAD</t>
  </si>
  <si>
    <t>RoundedRectangle</t>
  </si>
  <si>
    <t>Circle</t>
  </si>
  <si>
    <t>UseDiagram</t>
  </si>
  <si>
    <t>DirectState</t>
  </si>
  <si>
    <t>Secant</t>
  </si>
  <si>
    <t>LoadMultiplier</t>
  </si>
  <si>
    <t>Brent</t>
  </si>
  <si>
    <t>ValuesOnly</t>
  </si>
  <si>
    <t>Inside</t>
  </si>
  <si>
    <t>Small</t>
  </si>
  <si>
    <t>Medium</t>
  </si>
  <si>
    <t>Stealth</t>
  </si>
  <si>
    <t>Diamond</t>
  </si>
  <si>
    <t>Oval</t>
  </si>
  <si>
    <t>Open</t>
  </si>
  <si>
    <t>Сводка пакетного расчета</t>
  </si>
  <si>
    <t>Определяющее сочетание</t>
  </si>
  <si>
    <t>Наименование определяющего сочетания</t>
  </si>
  <si>
    <t>Время расчета, с</t>
  </si>
  <si>
    <t>Точка приложения нагрузки</t>
  </si>
  <si>
    <t>Наименование</t>
  </si>
  <si>
    <t>Status</t>
  </si>
  <si>
    <t>CapacityStatus</t>
  </si>
  <si>
    <t>CapacityLimitState</t>
  </si>
  <si>
    <t>StrengthCheckStatus</t>
  </si>
  <si>
    <t>CrackStatus</t>
  </si>
  <si>
    <t>LambdaCapacity</t>
  </si>
  <si>
    <t>CapacityUtilization</t>
  </si>
  <si>
    <t>StrainSafetyFactor</t>
  </si>
  <si>
    <t>CrackWidth</t>
  </si>
  <si>
    <t>CrackUtilization</t>
  </si>
  <si>
    <t>WorstUtilization</t>
  </si>
  <si>
    <t>Определяющее</t>
  </si>
  <si>
    <t>OK</t>
  </si>
  <si>
    <t>ConcreteStrainLimit</t>
  </si>
  <si>
    <t>StrengthPassed</t>
  </si>
  <si>
    <t>Да</t>
  </si>
  <si>
    <t>RunID</t>
  </si>
  <si>
    <t>ElementID</t>
  </si>
  <si>
    <t>MaterialType</t>
  </si>
  <si>
    <t>MaterialClass</t>
  </si>
  <si>
    <t>X, mm</t>
  </si>
  <si>
    <t>Y, mm</t>
  </si>
  <si>
    <t>Area, mm2</t>
  </si>
  <si>
    <t>ShapeType</t>
  </si>
  <si>
    <t>Width, mm</t>
  </si>
  <si>
    <t>Height, mm</t>
  </si>
  <si>
    <t>Diameter, mm</t>
  </si>
  <si>
    <t>Rotation, rad</t>
  </si>
  <si>
    <t>LocalIx, mm4</t>
  </si>
  <si>
    <t>LocalIy, mm4</t>
  </si>
  <si>
    <t>LocalIxy, mm4</t>
  </si>
  <si>
    <t>C1</t>
  </si>
  <si>
    <t>Rectangle</t>
  </si>
  <si>
    <t>generated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</si>
  <si>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</si>
  <si>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</si>
  <si>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</si>
  <si>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</si>
  <si>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</si>
  <si>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</si>
  <si>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</si>
  <si>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</si>
  <si>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</si>
  <si>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</si>
  <si>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</si>
  <si>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</si>
  <si>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</si>
  <si>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</si>
  <si>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</si>
  <si>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</si>
  <si>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</si>
  <si>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</si>
  <si>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</si>
  <si>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</si>
  <si>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</si>
  <si>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</si>
  <si>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</si>
  <si>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</si>
  <si>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</si>
  <si>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</si>
  <si>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</si>
  <si>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</si>
  <si>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</si>
  <si>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</si>
  <si>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</si>
  <si>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</si>
  <si>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</si>
  <si>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</si>
  <si>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</si>
  <si>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</si>
  <si>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</si>
  <si>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</si>
  <si>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</si>
  <si>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</si>
  <si>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</si>
  <si>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</si>
  <si>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</si>
  <si>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</si>
  <si>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</si>
  <si>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</si>
  <si>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</si>
  <si>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</si>
  <si>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</si>
  <si>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</si>
  <si>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</si>
  <si>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</si>
  <si>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</si>
  <si>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</si>
  <si>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</si>
  <si>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</si>
  <si>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</si>
  <si>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</si>
  <si>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</si>
  <si>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</si>
  <si>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</si>
  <si>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</si>
  <si>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</si>
  <si>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</si>
  <si>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</si>
  <si>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</si>
  <si>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</si>
  <si>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</si>
  <si>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</si>
  <si>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</si>
  <si>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</si>
  <si>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</si>
  <si>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</si>
  <si>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</si>
  <si>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</si>
  <si>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</si>
  <si>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</si>
  <si>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</si>
  <si>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</si>
  <si>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</si>
  <si>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</si>
  <si>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</si>
  <si>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</si>
  <si>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</si>
  <si>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</si>
  <si>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</si>
  <si>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</si>
  <si>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</si>
  <si>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</si>
  <si>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</si>
  <si>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</si>
  <si>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</si>
  <si>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</si>
  <si>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</si>
  <si>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</si>
  <si>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</si>
  <si>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</si>
  <si>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</si>
  <si>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</si>
  <si>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</si>
  <si>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</si>
  <si>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</si>
  <si>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</si>
  <si>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</si>
  <si>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</si>
  <si>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</si>
  <si>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</si>
  <si>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</si>
  <si>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</si>
  <si>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</si>
  <si>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</si>
  <si>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</si>
  <si>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</si>
  <si>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</si>
  <si>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R1</t>
  </si>
  <si>
    <t>Rebar</t>
  </si>
  <si>
    <t>auto lshape H1.as_1 row 1</t>
  </si>
  <si>
    <t>R2</t>
  </si>
  <si>
    <t>R3</t>
  </si>
  <si>
    <t>R4</t>
  </si>
  <si>
    <t>R5</t>
  </si>
  <si>
    <t>R6</t>
  </si>
  <si>
    <t>auto lshape H1.as_2 row 1</t>
  </si>
  <si>
    <t>R7</t>
  </si>
  <si>
    <t>R8</t>
  </si>
  <si>
    <t>R9</t>
  </si>
  <si>
    <t>R10</t>
  </si>
  <si>
    <t>R11</t>
  </si>
  <si>
    <t>auto lshape B1.as_1 row 1</t>
  </si>
  <si>
    <t>R12</t>
  </si>
  <si>
    <t>R13</t>
  </si>
  <si>
    <t>auto lshape B1.as_2 row 1</t>
  </si>
  <si>
    <t>R14</t>
  </si>
  <si>
    <t>R15</t>
  </si>
  <si>
    <t>auto lshape H2.as_1 row 1</t>
  </si>
  <si>
    <t>R16</t>
  </si>
  <si>
    <t>R17</t>
  </si>
  <si>
    <t>auto lshape H2.as_2 row 1</t>
  </si>
  <si>
    <t>R18</t>
  </si>
  <si>
    <t>R19</t>
  </si>
  <si>
    <t>auto lshape B2.as_1 row 1</t>
  </si>
  <si>
    <t>R20</t>
  </si>
  <si>
    <t>R21</t>
  </si>
  <si>
    <t>R22</t>
  </si>
  <si>
    <t>R23</t>
  </si>
  <si>
    <t>R24</t>
  </si>
  <si>
    <t>auto lshape B2.as_2 row 1</t>
  </si>
  <si>
    <t>R25</t>
  </si>
  <si>
    <t>R26</t>
  </si>
  <si>
    <t>R27</t>
  </si>
  <si>
    <t>R28</t>
  </si>
  <si>
    <t>LoadCase</t>
  </si>
  <si>
    <t>Stress, MPa</t>
  </si>
  <si>
    <t>PhysicalState</t>
  </si>
  <si>
    <t>InactiveTensionConcrete</t>
  </si>
  <si>
    <t>Parameter</t>
  </si>
  <si>
    <t>Value</t>
  </si>
  <si>
    <t>Unit</t>
  </si>
  <si>
    <t>ALL</t>
  </si>
  <si>
    <t>Bounds.MinX</t>
  </si>
  <si>
    <t>Минимальный X расчетной модели.</t>
  </si>
  <si>
    <t>Bounds.MaxX</t>
  </si>
  <si>
    <t>Максимальный X расчетной модели.</t>
  </si>
  <si>
    <t>Bounds.MinY</t>
  </si>
  <si>
    <t>Минимальный Y расчетной модели.</t>
  </si>
  <si>
    <t>Bounds.MaxY</t>
  </si>
  <si>
    <t>Максимальный Y расчетной модели.</t>
  </si>
  <si>
    <t>CentroidX</t>
  </si>
  <si>
    <t>Центр тяжести приведенного сечения.</t>
  </si>
  <si>
    <t>CentroidY</t>
  </si>
  <si>
    <t>PrincipalAngle</t>
  </si>
  <si>
    <t>rad</t>
  </si>
  <si>
    <t>Угол главных центральных осей.</t>
  </si>
  <si>
    <t>PrincipalI1</t>
  </si>
  <si>
    <t>mm4</t>
  </si>
  <si>
    <t>Главный момент инерции I1.</t>
  </si>
  <si>
    <t>PrincipalI2</t>
  </si>
  <si>
    <t>Главный момент инерции I2.</t>
  </si>
  <si>
    <t>ConcreteCount</t>
  </si>
  <si>
    <t>Количество бетонных элементов.</t>
  </si>
  <si>
    <t>RebarCount</t>
  </si>
  <si>
    <t>Количество элементов арматуры.</t>
  </si>
  <si>
    <t>Output.LengthUnit</t>
  </si>
  <si>
    <t>Единица вывода длины snapshot.</t>
  </si>
  <si>
    <t>Output.AreaUnit</t>
  </si>
  <si>
    <t>Единица вывода площади snapshot.</t>
  </si>
  <si>
    <t>Output.ForceUnit</t>
  </si>
  <si>
    <t>Единица вывода силы snapshot.</t>
  </si>
  <si>
    <t>Output.MomentUnit</t>
  </si>
  <si>
    <t>Единица вывода момента snapshot.</t>
  </si>
  <si>
    <t>Output.StressUnit</t>
  </si>
  <si>
    <t>Единица вывода напряжения snapshot.</t>
  </si>
  <si>
    <t>Output.CurvatureUnit</t>
  </si>
  <si>
    <t>Единица вывода кривизны snapshot.</t>
  </si>
  <si>
    <t>Output.SignConvention.N</t>
  </si>
  <si>
    <t>Пользовательский знак N на момент расчета.</t>
  </si>
  <si>
    <t>Output.SignConvention.Mx</t>
  </si>
  <si>
    <t>Пользовательский знак Mx на момент расчета.</t>
  </si>
  <si>
    <t>Output.SignConvention.My</t>
  </si>
  <si>
    <t>Пользовательский знак My на момент расчета.</t>
  </si>
  <si>
    <t>Epsilon0</t>
  </si>
  <si>
    <t>Деформация в начале координат расчетной модели.</t>
  </si>
  <si>
    <t>KappaX</t>
  </si>
  <si>
    <t>Кривизна KappaX.</t>
  </si>
  <si>
    <t>KappaY</t>
  </si>
  <si>
    <t>Кривизна KappaY.</t>
  </si>
  <si>
    <t>LoadReferenceX</t>
  </si>
  <si>
    <t>X точки приложения нагрузки.</t>
  </si>
  <si>
    <t>LoadReferenceY</t>
  </si>
  <si>
    <t>Y точки приложения нагрузки.</t>
  </si>
  <si>
    <t>Заданная продольная сила.</t>
  </si>
  <si>
    <t>MxUser</t>
  </si>
  <si>
    <t>Пользовательский Mx.</t>
  </si>
  <si>
    <t>MyUser</t>
  </si>
  <si>
    <t>Пользовательский My.</t>
  </si>
  <si>
    <t>MxInternal</t>
  </si>
  <si>
    <t>Mx после переноса к координатам элементов.</t>
  </si>
  <si>
    <t>MyInternal</t>
  </si>
  <si>
    <t>My после переноса к координатам элементов.</t>
  </si>
  <si>
    <t>Nint</t>
  </si>
  <si>
    <t>Внутренняя продольная сила.</t>
  </si>
  <si>
    <t>Сводный статус сочетания.</t>
  </si>
  <si>
    <t>AnnotationType</t>
  </si>
  <si>
    <t>AnnotationID</t>
  </si>
  <si>
    <t>StartX</t>
  </si>
  <si>
    <t>StartY</t>
  </si>
  <si>
    <t>EndX</t>
  </si>
  <si>
    <t>EndY</t>
  </si>
  <si>
    <t>OutsideNormalX</t>
  </si>
  <si>
    <t>OutsideNormalY</t>
  </si>
  <si>
    <t>Text</t>
  </si>
  <si>
    <t>CONTOUR_LINE</t>
  </si>
  <si>
    <t>CONTOUR_LINE_2</t>
  </si>
  <si>
    <t>Generated section contour segment.</t>
  </si>
  <si>
    <t>CONTOUR_LINE_3</t>
  </si>
  <si>
    <t>CONTOUR_LINE_4</t>
  </si>
  <si>
    <t>CONTOUR_LINE_5</t>
  </si>
  <si>
    <t>CONTOUR_LINE_6</t>
  </si>
  <si>
    <t>CONTOUR_LINE_7</t>
  </si>
  <si>
    <t>DIMENSION</t>
  </si>
  <si>
    <t>DIM_B</t>
  </si>
  <si>
    <t>B=600 mm</t>
  </si>
  <si>
    <t>Overall concrete width by Bounds.</t>
  </si>
  <si>
    <t>DIM_H</t>
  </si>
  <si>
    <t>H=800 mm</t>
  </si>
  <si>
    <t>Overall concrete height by Bounds.</t>
  </si>
  <si>
    <t>DIM_TOP_WIDTH</t>
  </si>
  <si>
    <t>Top horizontal size detected from concrete bounds.</t>
  </si>
  <si>
    <t>DIM_RIGHT_HEIGHT</t>
  </si>
  <si>
    <t>Right vertical size detected from concrete bounds.</t>
  </si>
  <si>
    <t>REBAR_ANNOTATION</t>
  </si>
  <si>
    <t>REBAR_H1.as_1</t>
  </si>
  <si>
    <t>5Ø32</t>
  </si>
  <si>
    <t>Grouped rebar annotation.</t>
  </si>
  <si>
    <t>REBAR_H1.as_2</t>
  </si>
  <si>
    <t>REBAR_B1.as_1</t>
  </si>
  <si>
    <t>2Ø32</t>
  </si>
  <si>
    <t>REBAR_B1.as_2</t>
  </si>
  <si>
    <t>REBAR_H2.as_1</t>
  </si>
  <si>
    <t>REBAR_H2.as_2</t>
  </si>
  <si>
    <t>REBAR_B2.as_1</t>
  </si>
  <si>
    <t>REBAR_B2.as_2</t>
  </si>
  <si>
    <t>Indicator</t>
  </si>
  <si>
    <t>Mode</t>
  </si>
  <si>
    <t>Converged</t>
  </si>
  <si>
    <t>LimitState</t>
  </si>
  <si>
    <t>LambdaUltimate</t>
  </si>
  <si>
    <t>MxUltimate</t>
  </si>
  <si>
    <t>MyUltimate</t>
  </si>
  <si>
    <t>MomentResultant</t>
  </si>
  <si>
    <t>SafetyFactor</t>
  </si>
  <si>
    <t>MomentResidual</t>
  </si>
  <si>
    <t>StrainLimits</t>
  </si>
  <si>
    <t>N+Mx+My</t>
  </si>
  <si>
    <t>Единый расчет по направлению вектора моментов</t>
  </si>
  <si>
    <t>Capacity search converged by direct ultimate strain equilibrium.</t>
  </si>
  <si>
    <t>Физические и численные причины остановки разделяются</t>
  </si>
  <si>
    <t>SafetyFactor = LambdaUltimate</t>
  </si>
  <si>
    <t>Внутренние единицы: N*mm</t>
  </si>
  <si>
    <t>Результирующий момент вектора Mx/My</t>
  </si>
  <si>
    <t>Независимая проверка равновесия</t>
  </si>
  <si>
    <t>Параметр плоскости деформаций</t>
  </si>
  <si>
    <t>Кривизна, связанная с координатой y</t>
  </si>
  <si>
    <t>Кривизна, связанная с координатой x</t>
  </si>
  <si>
    <t>CrackConverged</t>
  </si>
  <si>
    <t>CrackAllowable</t>
  </si>
  <si>
    <t>SteelMax</t>
  </si>
  <si>
    <t>РЁРёСЂРёРЅР° СЂР°СЃРєСЂС‹С‚РёСЏ С‚СЂРµС‰РёРЅ СЂР°СЃСЃС‡РёС‚Р°РЅР° РїРѕ РїРµСЂРµРґР°РЅРЅРѕРјСѓ СЃРѕСЃС‚РѕСЏРЅРёСЋ СЃРµС‡РµРЅРёСЏ.</t>
  </si>
  <si>
    <t>Уже образовавшаяся нормальная трещина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</si>
  <si>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</si>
  <si>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</si>
  <si>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</si>
  <si>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</si>
  <si>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</si>
  <si>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</si>
  <si>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</si>
  <si>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</si>
  <si>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</si>
  <si>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</si>
  <si>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</si>
  <si>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</si>
  <si>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</si>
  <si>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</si>
  <si>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</si>
  <si>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</si>
  <si>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</si>
  <si>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</si>
  <si>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</si>
  <si>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</si>
  <si>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</si>
  <si>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</si>
  <si>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</si>
  <si>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</si>
  <si>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</si>
  <si>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</si>
  <si>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</si>
  <si>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</si>
  <si>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</si>
  <si>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</si>
  <si>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</si>
  <si>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</si>
  <si>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</si>
  <si>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</si>
  <si>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</si>
  <si>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</si>
  <si>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</si>
  <si>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</si>
  <si>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</si>
  <si>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</si>
  <si>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</si>
  <si>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</si>
  <si>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</si>
  <si>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</si>
  <si>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</si>
  <si>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</si>
  <si>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</si>
  <si>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</si>
  <si>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</si>
  <si>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</si>
  <si>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</si>
  <si>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</si>
  <si>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</si>
  <si>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</si>
  <si>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</si>
  <si>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</si>
  <si>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</si>
  <si>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</si>
  <si>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</si>
  <si>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B1=240 mm</t>
  </si>
  <si>
    <t>H2=240 mm</t>
  </si>
  <si>
    <t>X=212.742868821765 mm</t>
  </si>
  <si>
    <t>Y=320.212014656636 mm</t>
  </si>
  <si>
    <t>Utilization=0.323803153925698</t>
  </si>
  <si>
    <t>MaxAbsSteelStrain=4.15938024203793E-03</t>
  </si>
  <si>
    <t>Utilization=0.42618631327911</t>
  </si>
  <si>
    <t>Stress=127.855893983733 MPa; tensionBars=10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</si>
</sst>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rgb="FFFFFFFF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0" xfId="0" applyFont="1" applyAlignment="1">
      <alignment vertical="center"/>
    </xf>
    <xf numFmtId="0" fontId="4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4" fillId="0" borderId="0" xfId="0" applyFont="1"/>
    <xf numFmtId="0" fontId="4" fillId="4" borderId="0" xfId="0" applyFont="1" applyFill="1"/>
    <xf numFmtId="0" fontId="4" fillId="5" borderId="0" xfId="0" applyFont="1" applyFill="1"/>
    <xf numFmtId="0" fontId="3" fillId="5" borderId="0" xfId="0" applyFont="1" applyFill="1"/>
    <xf numFmtId="3" fontId="3" fillId="0" borderId="0" xfId="0" applyNumberFormat="1" applyFont="1"/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4" fillId="5" borderId="0" xfId="0" applyFont="1" applyFill="1"/>
    <xf numFmtId="0" fontId="3" fillId="0" borderId="0" xfId="0" applyFont="1"/>
    <xf numFmtId="2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Сечение: 1 / </a:t>
            </a:r>
            <a:r>
              <a:rPr lang="en-US"/>
              <a:t>Stress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9024390243902439E-2"/>
          <c:y val="7.407407407407407E-2"/>
          <c:w val="0.78048780487804881"/>
          <c:h val="0.8666666666666667"/>
        </c:manualLayout>
      </c:layout>
      <c:scatterChart>
        <c:scatterStyle val="lineMarker"/>
        <c:varyColors val="0"/>
        <c:ser>
          <c:idx val="0"/>
          <c:order val="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7D23D2"/>
              </a:solidFill>
              <a:ln>
                <a:solidFill>
                  <a:srgbClr val="7D23D2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20</c:v>
              </c:pt>
            </c:numLit>
          </c:xVal>
          <c:yVal>
            <c:numLit>
              <c:formatCode>General</c:formatCode>
              <c:ptCount val="1"/>
              <c:pt idx="0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29-7BAF-4EDE-BA35-9E45254D3367}"/>
            </c:ext>
          </c:extLst>
        </c:ser>
        <c:ser>
          <c:idx val="1"/>
          <c:order val="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822CD2"/>
              </a:solidFill>
              <a:ln>
                <a:solidFill>
                  <a:srgbClr val="822CD2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60</c:v>
              </c:pt>
            </c:numLit>
          </c:xVal>
          <c:yVal>
            <c:numLit>
              <c:formatCode>General</c:formatCode>
              <c:ptCount val="1"/>
              <c:pt idx="0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2A-7BAF-4EDE-BA35-9E45254D3367}"/>
            </c:ext>
          </c:extLst>
        </c:ser>
        <c:ser>
          <c:idx val="2"/>
          <c:order val="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8635D3"/>
              </a:solidFill>
              <a:ln>
                <a:solidFill>
                  <a:srgbClr val="8635D3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100</c:v>
              </c:pt>
            </c:numLit>
          </c:xVal>
          <c:yVal>
            <c:numLit>
              <c:formatCode>General</c:formatCode>
              <c:ptCount val="1"/>
              <c:pt idx="0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2B-7BAF-4EDE-BA35-9E45254D3367}"/>
            </c:ext>
          </c:extLst>
        </c:ser>
        <c:ser>
          <c:idx val="3"/>
          <c:order val="3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8B3ED3"/>
              </a:solidFill>
              <a:ln>
                <a:solidFill>
                  <a:srgbClr val="8B3ED3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140</c:v>
              </c:pt>
            </c:numLit>
          </c:xVal>
          <c:yVal>
            <c:numLit>
              <c:formatCode>General</c:formatCode>
              <c:ptCount val="1"/>
              <c:pt idx="0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2C-7BAF-4EDE-BA35-9E45254D3367}"/>
            </c:ext>
          </c:extLst>
        </c:ser>
        <c:ser>
          <c:idx val="4"/>
          <c:order val="4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9047D4"/>
              </a:solidFill>
              <a:ln>
                <a:solidFill>
                  <a:srgbClr val="9047D4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180</c:v>
              </c:pt>
            </c:numLit>
          </c:xVal>
          <c:yVal>
            <c:numLit>
              <c:formatCode>General</c:formatCode>
              <c:ptCount val="1"/>
              <c:pt idx="0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2D-7BAF-4EDE-BA35-9E45254D3367}"/>
            </c:ext>
          </c:extLst>
        </c:ser>
        <c:ser>
          <c:idx val="5"/>
          <c:order val="5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9451D4"/>
              </a:solidFill>
              <a:ln>
                <a:solidFill>
                  <a:srgbClr val="9451D4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220</c:v>
              </c:pt>
            </c:numLit>
          </c:xVal>
          <c:yVal>
            <c:numLit>
              <c:formatCode>General</c:formatCode>
              <c:ptCount val="1"/>
              <c:pt idx="0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2E-7BAF-4EDE-BA35-9E45254D3367}"/>
            </c:ext>
          </c:extLst>
        </c:ser>
        <c:ser>
          <c:idx val="6"/>
          <c:order val="6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995AD4"/>
              </a:solidFill>
              <a:ln>
                <a:solidFill>
                  <a:srgbClr val="995AD4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260</c:v>
              </c:pt>
            </c:numLit>
          </c:xVal>
          <c:yVal>
            <c:numLit>
              <c:formatCode>General</c:formatCode>
              <c:ptCount val="1"/>
              <c:pt idx="0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2F-7BAF-4EDE-BA35-9E45254D3367}"/>
            </c:ext>
          </c:extLst>
        </c:ser>
        <c:ser>
          <c:idx val="7"/>
          <c:order val="7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9D63D5"/>
              </a:solidFill>
              <a:ln>
                <a:solidFill>
                  <a:srgbClr val="9D63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300</c:v>
              </c:pt>
            </c:numLit>
          </c:xVal>
          <c:yVal>
            <c:numLit>
              <c:formatCode>General</c:formatCode>
              <c:ptCount val="1"/>
              <c:pt idx="0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30-7BAF-4EDE-BA35-9E45254D3367}"/>
            </c:ext>
          </c:extLst>
        </c:ser>
        <c:ser>
          <c:idx val="8"/>
          <c:order val="8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A26CD5"/>
              </a:solidFill>
              <a:ln>
                <a:solidFill>
                  <a:srgbClr val="A26C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340</c:v>
              </c:pt>
            </c:numLit>
          </c:xVal>
          <c:yVal>
            <c:numLit>
              <c:formatCode>General</c:formatCode>
              <c:ptCount val="1"/>
              <c:pt idx="0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31-7BAF-4EDE-BA35-9E45254D3367}"/>
            </c:ext>
          </c:extLst>
        </c:ser>
        <c:ser>
          <c:idx val="9"/>
          <c:order val="9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A775D6"/>
              </a:solidFill>
              <a:ln>
                <a:solidFill>
                  <a:srgbClr val="A775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380</c:v>
              </c:pt>
            </c:numLit>
          </c:xVal>
          <c:yVal>
            <c:numLit>
              <c:formatCode>General</c:formatCode>
              <c:ptCount val="1"/>
              <c:pt idx="0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32-7BAF-4EDE-BA35-9E45254D3367}"/>
            </c:ext>
          </c:extLst>
        </c:ser>
        <c:ser>
          <c:idx val="10"/>
          <c:order val="1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AB7ED6"/>
              </a:solidFill>
              <a:ln>
                <a:solidFill>
                  <a:srgbClr val="AB7E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420</c:v>
              </c:pt>
            </c:numLit>
          </c:xVal>
          <c:yVal>
            <c:numLit>
              <c:formatCode>General</c:formatCode>
              <c:ptCount val="1"/>
              <c:pt idx="0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33-7BAF-4EDE-BA35-9E45254D3367}"/>
            </c:ext>
          </c:extLst>
        </c:ser>
        <c:ser>
          <c:idx val="11"/>
          <c:order val="1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087D6"/>
              </a:solidFill>
              <a:ln>
                <a:solidFill>
                  <a:srgbClr val="B087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460</c:v>
              </c:pt>
            </c:numLit>
          </c:xVal>
          <c:yVal>
            <c:numLit>
              <c:formatCode>General</c:formatCode>
              <c:ptCount val="1"/>
              <c:pt idx="0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34-7BAF-4EDE-BA35-9E45254D3367}"/>
            </c:ext>
          </c:extLst>
        </c:ser>
        <c:ser>
          <c:idx val="12"/>
          <c:order val="1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590D7"/>
              </a:solidFill>
              <a:ln>
                <a:solidFill>
                  <a:srgbClr val="B590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500</c:v>
              </c:pt>
            </c:numLit>
          </c:xVal>
          <c:yVal>
            <c:numLit>
              <c:formatCode>General</c:formatCode>
              <c:ptCount val="1"/>
              <c:pt idx="0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35-7BAF-4EDE-BA35-9E45254D3367}"/>
            </c:ext>
          </c:extLst>
        </c:ser>
        <c:ser>
          <c:idx val="13"/>
          <c:order val="13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99AD7"/>
              </a:solidFill>
              <a:ln>
                <a:solidFill>
                  <a:srgbClr val="B99AD7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540</c:v>
              </c:pt>
              <c:pt idx="1">
                <c:v>60</c:v>
              </c:pt>
            </c:numLit>
          </c:xVal>
          <c:yVal>
            <c:numLit>
              <c:formatCode>General</c:formatCode>
              <c:ptCount val="2"/>
              <c:pt idx="0">
                <c:v>20</c:v>
              </c:pt>
              <c:pt idx="1">
                <c:v>300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36-7BAF-4EDE-BA35-9E45254D3367}"/>
            </c:ext>
          </c:extLst>
        </c:ser>
        <c:ser>
          <c:idx val="14"/>
          <c:order val="14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EA3D8"/>
              </a:solidFill>
              <a:ln>
                <a:solidFill>
                  <a:srgbClr val="BEA3D8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580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20</c:v>
              </c:pt>
              <c:pt idx="1">
                <c:v>300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37-7BAF-4EDE-BA35-9E45254D3367}"/>
            </c:ext>
          </c:extLst>
        </c:ser>
        <c:ser>
          <c:idx val="15"/>
          <c:order val="15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8533D3"/>
              </a:solidFill>
              <a:ln>
                <a:solidFill>
                  <a:srgbClr val="8533D3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20</c:v>
              </c:pt>
            </c:numLit>
          </c:xVal>
          <c:yVal>
            <c:numLit>
              <c:formatCode>General</c:formatCode>
              <c:ptCount val="1"/>
              <c:pt idx="0">
                <c:v>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38-7BAF-4EDE-BA35-9E45254D3367}"/>
            </c:ext>
          </c:extLst>
        </c:ser>
        <c:ser>
          <c:idx val="16"/>
          <c:order val="16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8A3CD3"/>
              </a:solidFill>
              <a:ln>
                <a:solidFill>
                  <a:srgbClr val="8A3CD3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60</c:v>
              </c:pt>
            </c:numLit>
          </c:xVal>
          <c:yVal>
            <c:numLit>
              <c:formatCode>General</c:formatCode>
              <c:ptCount val="1"/>
              <c:pt idx="0">
                <c:v>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39-7BAF-4EDE-BA35-9E45254D3367}"/>
            </c:ext>
          </c:extLst>
        </c:ser>
        <c:ser>
          <c:idx val="17"/>
          <c:order val="17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8E45D3"/>
              </a:solidFill>
              <a:ln>
                <a:solidFill>
                  <a:srgbClr val="8E45D3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100</c:v>
              </c:pt>
            </c:numLit>
          </c:xVal>
          <c:yVal>
            <c:numLit>
              <c:formatCode>General</c:formatCode>
              <c:ptCount val="1"/>
              <c:pt idx="0">
                <c:v>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3A-7BAF-4EDE-BA35-9E45254D3367}"/>
            </c:ext>
          </c:extLst>
        </c:ser>
        <c:ser>
          <c:idx val="18"/>
          <c:order val="18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934ED4"/>
              </a:solidFill>
              <a:ln>
                <a:solidFill>
                  <a:srgbClr val="934ED4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140</c:v>
              </c:pt>
            </c:numLit>
          </c:xVal>
          <c:yVal>
            <c:numLit>
              <c:formatCode>General</c:formatCode>
              <c:ptCount val="1"/>
              <c:pt idx="0">
                <c:v>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3B-7BAF-4EDE-BA35-9E45254D3367}"/>
            </c:ext>
          </c:extLst>
        </c:ser>
        <c:ser>
          <c:idx val="19"/>
          <c:order val="19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9757D4"/>
              </a:solidFill>
              <a:ln>
                <a:solidFill>
                  <a:srgbClr val="9757D4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180</c:v>
              </c:pt>
            </c:numLit>
          </c:xVal>
          <c:yVal>
            <c:numLit>
              <c:formatCode>General</c:formatCode>
              <c:ptCount val="1"/>
              <c:pt idx="0">
                <c:v>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3C-7BAF-4EDE-BA35-9E45254D3367}"/>
            </c:ext>
          </c:extLst>
        </c:ser>
        <c:ser>
          <c:idx val="20"/>
          <c:order val="2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9C60D5"/>
              </a:solidFill>
              <a:ln>
                <a:solidFill>
                  <a:srgbClr val="9C60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220</c:v>
              </c:pt>
            </c:numLit>
          </c:xVal>
          <c:yVal>
            <c:numLit>
              <c:formatCode>General</c:formatCode>
              <c:ptCount val="1"/>
              <c:pt idx="0">
                <c:v>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3D-7BAF-4EDE-BA35-9E45254D3367}"/>
            </c:ext>
          </c:extLst>
        </c:ser>
        <c:ser>
          <c:idx val="21"/>
          <c:order val="2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A169D5"/>
              </a:solidFill>
              <a:ln>
                <a:solidFill>
                  <a:srgbClr val="A169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260</c:v>
              </c:pt>
            </c:numLit>
          </c:xVal>
          <c:yVal>
            <c:numLit>
              <c:formatCode>General</c:formatCode>
              <c:ptCount val="1"/>
              <c:pt idx="0">
                <c:v>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3E-7BAF-4EDE-BA35-9E45254D3367}"/>
            </c:ext>
          </c:extLst>
        </c:ser>
        <c:ser>
          <c:idx val="22"/>
          <c:order val="2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A572D5"/>
              </a:solidFill>
              <a:ln>
                <a:solidFill>
                  <a:srgbClr val="A572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300</c:v>
              </c:pt>
            </c:numLit>
          </c:xVal>
          <c:yVal>
            <c:numLit>
              <c:formatCode>General</c:formatCode>
              <c:ptCount val="1"/>
              <c:pt idx="0">
                <c:v>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3F-7BAF-4EDE-BA35-9E45254D3367}"/>
            </c:ext>
          </c:extLst>
        </c:ser>
        <c:ser>
          <c:idx val="23"/>
          <c:order val="23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AA7CD6"/>
              </a:solidFill>
              <a:ln>
                <a:solidFill>
                  <a:srgbClr val="AA7C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340</c:v>
              </c:pt>
            </c:numLit>
          </c:xVal>
          <c:yVal>
            <c:numLit>
              <c:formatCode>General</c:formatCode>
              <c:ptCount val="1"/>
              <c:pt idx="0">
                <c:v>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40-7BAF-4EDE-BA35-9E45254D3367}"/>
            </c:ext>
          </c:extLst>
        </c:ser>
        <c:ser>
          <c:idx val="24"/>
          <c:order val="24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AF85D6"/>
              </a:solidFill>
              <a:ln>
                <a:solidFill>
                  <a:srgbClr val="AF85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380</c:v>
              </c:pt>
            </c:numLit>
          </c:xVal>
          <c:yVal>
            <c:numLit>
              <c:formatCode>General</c:formatCode>
              <c:ptCount val="1"/>
              <c:pt idx="0">
                <c:v>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41-7BAF-4EDE-BA35-9E45254D3367}"/>
            </c:ext>
          </c:extLst>
        </c:ser>
        <c:ser>
          <c:idx val="25"/>
          <c:order val="25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38ED7"/>
              </a:solidFill>
              <a:ln>
                <a:solidFill>
                  <a:srgbClr val="B38E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420</c:v>
              </c:pt>
            </c:numLit>
          </c:xVal>
          <c:yVal>
            <c:numLit>
              <c:formatCode>General</c:formatCode>
              <c:ptCount val="1"/>
              <c:pt idx="0">
                <c:v>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42-7BAF-4EDE-BA35-9E45254D3367}"/>
            </c:ext>
          </c:extLst>
        </c:ser>
        <c:ser>
          <c:idx val="26"/>
          <c:order val="26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897D7"/>
              </a:solidFill>
              <a:ln>
                <a:solidFill>
                  <a:srgbClr val="B897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460</c:v>
              </c:pt>
            </c:numLit>
          </c:xVal>
          <c:yVal>
            <c:numLit>
              <c:formatCode>General</c:formatCode>
              <c:ptCount val="1"/>
              <c:pt idx="0">
                <c:v>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43-7BAF-4EDE-BA35-9E45254D3367}"/>
            </c:ext>
          </c:extLst>
        </c:ser>
        <c:ser>
          <c:idx val="27"/>
          <c:order val="27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DA0D7"/>
              </a:solidFill>
              <a:ln>
                <a:solidFill>
                  <a:srgbClr val="BDA0D7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500</c:v>
              </c:pt>
              <c:pt idx="1">
                <c:v>20</c:v>
              </c:pt>
            </c:numLit>
          </c:xVal>
          <c:yVal>
            <c:numLit>
              <c:formatCode>General</c:formatCode>
              <c:ptCount val="2"/>
              <c:pt idx="0">
                <c:v>60</c:v>
              </c:pt>
              <c:pt idx="1">
                <c:v>340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44-7BAF-4EDE-BA35-9E45254D3367}"/>
            </c:ext>
          </c:extLst>
        </c:ser>
        <c:ser>
          <c:idx val="28"/>
          <c:order val="28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1A9D8"/>
              </a:solidFill>
              <a:ln>
                <a:solidFill>
                  <a:srgbClr val="C1A9D8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540</c:v>
              </c:pt>
              <c:pt idx="1">
                <c:v>60</c:v>
              </c:pt>
            </c:numLit>
          </c:xVal>
          <c:yVal>
            <c:numLit>
              <c:formatCode>General</c:formatCode>
              <c:ptCount val="2"/>
              <c:pt idx="0">
                <c:v>60</c:v>
              </c:pt>
              <c:pt idx="1">
                <c:v>340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45-7BAF-4EDE-BA35-9E45254D3367}"/>
            </c:ext>
          </c:extLst>
        </c:ser>
        <c:ser>
          <c:idx val="29"/>
          <c:order val="29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6B2D8"/>
              </a:solidFill>
              <a:ln>
                <a:solidFill>
                  <a:srgbClr val="C6B2D8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580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60</c:v>
              </c:pt>
              <c:pt idx="1">
                <c:v>340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46-7BAF-4EDE-BA35-9E45254D3367}"/>
            </c:ext>
          </c:extLst>
        </c:ser>
        <c:ser>
          <c:idx val="30"/>
          <c:order val="3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8D42D3"/>
              </a:solidFill>
              <a:ln>
                <a:solidFill>
                  <a:srgbClr val="8D42D3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20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47-7BAF-4EDE-BA35-9E45254D3367}"/>
            </c:ext>
          </c:extLst>
        </c:ser>
        <c:ser>
          <c:idx val="31"/>
          <c:order val="3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924BD4"/>
              </a:solidFill>
              <a:ln>
                <a:solidFill>
                  <a:srgbClr val="924BD4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60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48-7BAF-4EDE-BA35-9E45254D3367}"/>
            </c:ext>
          </c:extLst>
        </c:ser>
        <c:ser>
          <c:idx val="32"/>
          <c:order val="3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9655D4"/>
              </a:solidFill>
              <a:ln>
                <a:solidFill>
                  <a:srgbClr val="9655D4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100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49-7BAF-4EDE-BA35-9E45254D3367}"/>
            </c:ext>
          </c:extLst>
        </c:ser>
        <c:ser>
          <c:idx val="33"/>
          <c:order val="33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9B5ED5"/>
              </a:solidFill>
              <a:ln>
                <a:solidFill>
                  <a:srgbClr val="9B5E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140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4A-7BAF-4EDE-BA35-9E45254D3367}"/>
            </c:ext>
          </c:extLst>
        </c:ser>
        <c:ser>
          <c:idx val="34"/>
          <c:order val="34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9F67D5"/>
              </a:solidFill>
              <a:ln>
                <a:solidFill>
                  <a:srgbClr val="9F67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180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4B-7BAF-4EDE-BA35-9E45254D3367}"/>
            </c:ext>
          </c:extLst>
        </c:ser>
        <c:ser>
          <c:idx val="35"/>
          <c:order val="35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A470D5"/>
              </a:solidFill>
              <a:ln>
                <a:solidFill>
                  <a:srgbClr val="A470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220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4C-7BAF-4EDE-BA35-9E45254D3367}"/>
            </c:ext>
          </c:extLst>
        </c:ser>
        <c:ser>
          <c:idx val="36"/>
          <c:order val="36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A979D6"/>
              </a:solidFill>
              <a:ln>
                <a:solidFill>
                  <a:srgbClr val="A979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260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4D-7BAF-4EDE-BA35-9E45254D3367}"/>
            </c:ext>
          </c:extLst>
        </c:ser>
        <c:ser>
          <c:idx val="37"/>
          <c:order val="37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AD82D6"/>
              </a:solidFill>
              <a:ln>
                <a:solidFill>
                  <a:srgbClr val="AD82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300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4E-7BAF-4EDE-BA35-9E45254D3367}"/>
            </c:ext>
          </c:extLst>
        </c:ser>
        <c:ser>
          <c:idx val="38"/>
          <c:order val="38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28BD7"/>
              </a:solidFill>
              <a:ln>
                <a:solidFill>
                  <a:srgbClr val="B28B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340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4F-7BAF-4EDE-BA35-9E45254D3367}"/>
            </c:ext>
          </c:extLst>
        </c:ser>
        <c:ser>
          <c:idx val="39"/>
          <c:order val="39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794D7"/>
              </a:solidFill>
              <a:ln>
                <a:solidFill>
                  <a:srgbClr val="B794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380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50-7BAF-4EDE-BA35-9E45254D3367}"/>
            </c:ext>
          </c:extLst>
        </c:ser>
        <c:ser>
          <c:idx val="40"/>
          <c:order val="4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B9DD7"/>
              </a:solidFill>
              <a:ln>
                <a:solidFill>
                  <a:srgbClr val="BB9D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420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51-7BAF-4EDE-BA35-9E45254D3367}"/>
            </c:ext>
          </c:extLst>
        </c:ser>
        <c:ser>
          <c:idx val="41"/>
          <c:order val="4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0A7D8"/>
              </a:solidFill>
              <a:ln>
                <a:solidFill>
                  <a:srgbClr val="C0A7D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460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52-7BAF-4EDE-BA35-9E45254D3367}"/>
            </c:ext>
          </c:extLst>
        </c:ser>
        <c:ser>
          <c:idx val="42"/>
          <c:order val="4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5B0D8"/>
              </a:solidFill>
              <a:ln>
                <a:solidFill>
                  <a:srgbClr val="C5B0D8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500</c:v>
              </c:pt>
              <c:pt idx="1">
                <c:v>20</c:v>
              </c:pt>
            </c:numLit>
          </c:xVal>
          <c:yVal>
            <c:numLit>
              <c:formatCode>General</c:formatCode>
              <c:ptCount val="2"/>
              <c:pt idx="0">
                <c:v>100</c:v>
              </c:pt>
              <c:pt idx="1">
                <c:v>380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53-7BAF-4EDE-BA35-9E45254D3367}"/>
            </c:ext>
          </c:extLst>
        </c:ser>
        <c:ser>
          <c:idx val="43"/>
          <c:order val="43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9B9D9"/>
              </a:solidFill>
              <a:ln>
                <a:solidFill>
                  <a:srgbClr val="C9B9D9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540</c:v>
              </c:pt>
              <c:pt idx="1">
                <c:v>60</c:v>
              </c:pt>
            </c:numLit>
          </c:xVal>
          <c:yVal>
            <c:numLit>
              <c:formatCode>General</c:formatCode>
              <c:ptCount val="2"/>
              <c:pt idx="0">
                <c:v>100</c:v>
              </c:pt>
              <c:pt idx="1">
                <c:v>380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54-7BAF-4EDE-BA35-9E45254D3367}"/>
            </c:ext>
          </c:extLst>
        </c:ser>
        <c:ser>
          <c:idx val="44"/>
          <c:order val="44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EC2D9"/>
              </a:solidFill>
              <a:ln>
                <a:solidFill>
                  <a:srgbClr val="CEC2D9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580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100</c:v>
              </c:pt>
              <c:pt idx="1">
                <c:v>380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55-7BAF-4EDE-BA35-9E45254D3367}"/>
            </c:ext>
          </c:extLst>
        </c:ser>
        <c:ser>
          <c:idx val="45"/>
          <c:order val="45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9552D4"/>
              </a:solidFill>
              <a:ln>
                <a:solidFill>
                  <a:srgbClr val="9552D4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20</c:v>
              </c:pt>
            </c:numLit>
          </c:xVal>
          <c:yVal>
            <c:numLit>
              <c:formatCode>General</c:formatCode>
              <c:ptCount val="1"/>
              <c:pt idx="0">
                <c:v>140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56-7BAF-4EDE-BA35-9E45254D3367}"/>
            </c:ext>
          </c:extLst>
        </c:ser>
        <c:ser>
          <c:idx val="46"/>
          <c:order val="46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995BD4"/>
              </a:solidFill>
              <a:ln>
                <a:solidFill>
                  <a:srgbClr val="995BD4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60</c:v>
              </c:pt>
            </c:numLit>
          </c:xVal>
          <c:yVal>
            <c:numLit>
              <c:formatCode>General</c:formatCode>
              <c:ptCount val="1"/>
              <c:pt idx="0">
                <c:v>140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57-7BAF-4EDE-BA35-9E45254D3367}"/>
            </c:ext>
          </c:extLst>
        </c:ser>
        <c:ser>
          <c:idx val="47"/>
          <c:order val="47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9E64D5"/>
              </a:solidFill>
              <a:ln>
                <a:solidFill>
                  <a:srgbClr val="9E64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100</c:v>
              </c:pt>
            </c:numLit>
          </c:xVal>
          <c:yVal>
            <c:numLit>
              <c:formatCode>General</c:formatCode>
              <c:ptCount val="1"/>
              <c:pt idx="0">
                <c:v>140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58-7BAF-4EDE-BA35-9E45254D3367}"/>
            </c:ext>
          </c:extLst>
        </c:ser>
        <c:ser>
          <c:idx val="48"/>
          <c:order val="48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A36DD5"/>
              </a:solidFill>
              <a:ln>
                <a:solidFill>
                  <a:srgbClr val="A36D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140</c:v>
              </c:pt>
            </c:numLit>
          </c:xVal>
          <c:yVal>
            <c:numLit>
              <c:formatCode>General</c:formatCode>
              <c:ptCount val="1"/>
              <c:pt idx="0">
                <c:v>140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59-7BAF-4EDE-BA35-9E45254D3367}"/>
            </c:ext>
          </c:extLst>
        </c:ser>
        <c:ser>
          <c:idx val="49"/>
          <c:order val="49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A776D6"/>
              </a:solidFill>
              <a:ln>
                <a:solidFill>
                  <a:srgbClr val="A776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180</c:v>
              </c:pt>
            </c:numLit>
          </c:xVal>
          <c:yVal>
            <c:numLit>
              <c:formatCode>General</c:formatCode>
              <c:ptCount val="1"/>
              <c:pt idx="0">
                <c:v>140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5A-7BAF-4EDE-BA35-9E45254D3367}"/>
            </c:ext>
          </c:extLst>
        </c:ser>
        <c:ser>
          <c:idx val="50"/>
          <c:order val="5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AC80D6"/>
              </a:solidFill>
              <a:ln>
                <a:solidFill>
                  <a:srgbClr val="AC80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220</c:v>
              </c:pt>
            </c:numLit>
          </c:xVal>
          <c:yVal>
            <c:numLit>
              <c:formatCode>General</c:formatCode>
              <c:ptCount val="1"/>
              <c:pt idx="0">
                <c:v>140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5B-7BAF-4EDE-BA35-9E45254D3367}"/>
            </c:ext>
          </c:extLst>
        </c:ser>
        <c:ser>
          <c:idx val="51"/>
          <c:order val="5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189D6"/>
              </a:solidFill>
              <a:ln>
                <a:solidFill>
                  <a:srgbClr val="B189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260</c:v>
              </c:pt>
            </c:numLit>
          </c:xVal>
          <c:yVal>
            <c:numLit>
              <c:formatCode>General</c:formatCode>
              <c:ptCount val="1"/>
              <c:pt idx="0">
                <c:v>140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5C-7BAF-4EDE-BA35-9E45254D3367}"/>
            </c:ext>
          </c:extLst>
        </c:ser>
        <c:ser>
          <c:idx val="52"/>
          <c:order val="5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592D7"/>
              </a:solidFill>
              <a:ln>
                <a:solidFill>
                  <a:srgbClr val="B592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300</c:v>
              </c:pt>
            </c:numLit>
          </c:xVal>
          <c:yVal>
            <c:numLit>
              <c:formatCode>General</c:formatCode>
              <c:ptCount val="1"/>
              <c:pt idx="0">
                <c:v>140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5D-7BAF-4EDE-BA35-9E45254D3367}"/>
            </c:ext>
          </c:extLst>
        </c:ser>
        <c:ser>
          <c:idx val="53"/>
          <c:order val="53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A9BD7"/>
              </a:solidFill>
              <a:ln>
                <a:solidFill>
                  <a:srgbClr val="BA9B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340</c:v>
              </c:pt>
            </c:numLit>
          </c:xVal>
          <c:yVal>
            <c:numLit>
              <c:formatCode>General</c:formatCode>
              <c:ptCount val="1"/>
              <c:pt idx="0">
                <c:v>140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5E-7BAF-4EDE-BA35-9E45254D3367}"/>
            </c:ext>
          </c:extLst>
        </c:ser>
        <c:ser>
          <c:idx val="54"/>
          <c:order val="54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FA4D8"/>
              </a:solidFill>
              <a:ln>
                <a:solidFill>
                  <a:srgbClr val="BFA4D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380</c:v>
              </c:pt>
            </c:numLit>
          </c:xVal>
          <c:yVal>
            <c:numLit>
              <c:formatCode>General</c:formatCode>
              <c:ptCount val="1"/>
              <c:pt idx="0">
                <c:v>140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5F-7BAF-4EDE-BA35-9E45254D3367}"/>
            </c:ext>
          </c:extLst>
        </c:ser>
        <c:ser>
          <c:idx val="55"/>
          <c:order val="55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3ADD8"/>
              </a:solidFill>
              <a:ln>
                <a:solidFill>
                  <a:srgbClr val="C3ADD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420</c:v>
              </c:pt>
            </c:numLit>
          </c:xVal>
          <c:yVal>
            <c:numLit>
              <c:formatCode>General</c:formatCode>
              <c:ptCount val="1"/>
              <c:pt idx="0">
                <c:v>140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60-7BAF-4EDE-BA35-9E45254D3367}"/>
            </c:ext>
          </c:extLst>
        </c:ser>
        <c:ser>
          <c:idx val="56"/>
          <c:order val="56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8B6D8"/>
              </a:solidFill>
              <a:ln>
                <a:solidFill>
                  <a:srgbClr val="C8B6D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460</c:v>
              </c:pt>
            </c:numLit>
          </c:xVal>
          <c:yVal>
            <c:numLit>
              <c:formatCode>General</c:formatCode>
              <c:ptCount val="1"/>
              <c:pt idx="0">
                <c:v>140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61-7BAF-4EDE-BA35-9E45254D3367}"/>
            </c:ext>
          </c:extLst>
        </c:ser>
        <c:ser>
          <c:idx val="57"/>
          <c:order val="57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CBFD9"/>
              </a:solidFill>
              <a:ln>
                <a:solidFill>
                  <a:srgbClr val="CCBF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500</c:v>
              </c:pt>
            </c:numLit>
          </c:xVal>
          <c:yVal>
            <c:numLit>
              <c:formatCode>General</c:formatCode>
              <c:ptCount val="1"/>
              <c:pt idx="0">
                <c:v>140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62-7BAF-4EDE-BA35-9E45254D3367}"/>
            </c:ext>
          </c:extLst>
        </c:ser>
        <c:ser>
          <c:idx val="58"/>
          <c:order val="58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D1C8D9"/>
              </a:solidFill>
              <a:ln>
                <a:solidFill>
                  <a:srgbClr val="D1C8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540</c:v>
              </c:pt>
            </c:numLit>
          </c:xVal>
          <c:yVal>
            <c:numLit>
              <c:formatCode>General</c:formatCode>
              <c:ptCount val="1"/>
              <c:pt idx="0">
                <c:v>140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63-7BAF-4EDE-BA35-9E45254D3367}"/>
            </c:ext>
          </c:extLst>
        </c:ser>
        <c:ser>
          <c:idx val="59"/>
          <c:order val="59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D6D2DA"/>
              </a:solidFill>
              <a:ln>
                <a:solidFill>
                  <a:srgbClr val="D6D2DA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580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140</c:v>
              </c:pt>
              <c:pt idx="1">
                <c:v>420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64-7BAF-4EDE-BA35-9E45254D3367}"/>
            </c:ext>
          </c:extLst>
        </c:ser>
        <c:ser>
          <c:idx val="60"/>
          <c:order val="6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9D62D5"/>
              </a:solidFill>
              <a:ln>
                <a:solidFill>
                  <a:srgbClr val="9D62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20</c:v>
              </c:pt>
            </c:numLit>
          </c:xVal>
          <c:yVal>
            <c:numLit>
              <c:formatCode>General</c:formatCode>
              <c:ptCount val="1"/>
              <c:pt idx="0">
                <c:v>180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65-7BAF-4EDE-BA35-9E45254D3367}"/>
            </c:ext>
          </c:extLst>
        </c:ser>
        <c:ser>
          <c:idx val="61"/>
          <c:order val="6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A16BD5"/>
              </a:solidFill>
              <a:ln>
                <a:solidFill>
                  <a:srgbClr val="A16B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60</c:v>
              </c:pt>
            </c:numLit>
          </c:xVal>
          <c:yVal>
            <c:numLit>
              <c:formatCode>General</c:formatCode>
              <c:ptCount val="1"/>
              <c:pt idx="0">
                <c:v>180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66-7BAF-4EDE-BA35-9E45254D3367}"/>
            </c:ext>
          </c:extLst>
        </c:ser>
        <c:ser>
          <c:idx val="62"/>
          <c:order val="6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A674D6"/>
              </a:solidFill>
              <a:ln>
                <a:solidFill>
                  <a:srgbClr val="A674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100</c:v>
              </c:pt>
            </c:numLit>
          </c:xVal>
          <c:yVal>
            <c:numLit>
              <c:formatCode>General</c:formatCode>
              <c:ptCount val="1"/>
              <c:pt idx="0">
                <c:v>180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67-7BAF-4EDE-BA35-9E45254D3367}"/>
            </c:ext>
          </c:extLst>
        </c:ser>
        <c:ser>
          <c:idx val="63"/>
          <c:order val="63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AB7DD6"/>
              </a:solidFill>
              <a:ln>
                <a:solidFill>
                  <a:srgbClr val="AB7D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140</c:v>
              </c:pt>
            </c:numLit>
          </c:xVal>
          <c:yVal>
            <c:numLit>
              <c:formatCode>General</c:formatCode>
              <c:ptCount val="1"/>
              <c:pt idx="0">
                <c:v>180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68-7BAF-4EDE-BA35-9E45254D3367}"/>
            </c:ext>
          </c:extLst>
        </c:ser>
        <c:ser>
          <c:idx val="64"/>
          <c:order val="64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AF86D6"/>
              </a:solidFill>
              <a:ln>
                <a:solidFill>
                  <a:srgbClr val="AF86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180</c:v>
              </c:pt>
            </c:numLit>
          </c:xVal>
          <c:yVal>
            <c:numLit>
              <c:formatCode>General</c:formatCode>
              <c:ptCount val="1"/>
              <c:pt idx="0">
                <c:v>180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69-7BAF-4EDE-BA35-9E45254D3367}"/>
            </c:ext>
          </c:extLst>
        </c:ser>
        <c:ser>
          <c:idx val="65"/>
          <c:order val="65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48FD7"/>
              </a:solidFill>
              <a:ln>
                <a:solidFill>
                  <a:srgbClr val="B48F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220</c:v>
              </c:pt>
            </c:numLit>
          </c:xVal>
          <c:yVal>
            <c:numLit>
              <c:formatCode>General</c:formatCode>
              <c:ptCount val="1"/>
              <c:pt idx="0">
                <c:v>180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6A-7BAF-4EDE-BA35-9E45254D3367}"/>
            </c:ext>
          </c:extLst>
        </c:ser>
        <c:ser>
          <c:idx val="66"/>
          <c:order val="66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998D7"/>
              </a:solidFill>
              <a:ln>
                <a:solidFill>
                  <a:srgbClr val="B998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260</c:v>
              </c:pt>
            </c:numLit>
          </c:xVal>
          <c:yVal>
            <c:numLit>
              <c:formatCode>General</c:formatCode>
              <c:ptCount val="1"/>
              <c:pt idx="0">
                <c:v>180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6B-7BAF-4EDE-BA35-9E45254D3367}"/>
            </c:ext>
          </c:extLst>
        </c:ser>
        <c:ser>
          <c:idx val="67"/>
          <c:order val="67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DA1D8"/>
              </a:solidFill>
              <a:ln>
                <a:solidFill>
                  <a:srgbClr val="BDA1D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300</c:v>
              </c:pt>
            </c:numLit>
          </c:xVal>
          <c:yVal>
            <c:numLit>
              <c:formatCode>General</c:formatCode>
              <c:ptCount val="1"/>
              <c:pt idx="0">
                <c:v>180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6C-7BAF-4EDE-BA35-9E45254D3367}"/>
            </c:ext>
          </c:extLst>
        </c:ser>
        <c:ser>
          <c:idx val="68"/>
          <c:order val="68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2ABD8"/>
              </a:solidFill>
              <a:ln>
                <a:solidFill>
                  <a:srgbClr val="C2ABD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340</c:v>
              </c:pt>
            </c:numLit>
          </c:xVal>
          <c:yVal>
            <c:numLit>
              <c:formatCode>General</c:formatCode>
              <c:ptCount val="1"/>
              <c:pt idx="0">
                <c:v>180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6D-7BAF-4EDE-BA35-9E45254D3367}"/>
            </c:ext>
          </c:extLst>
        </c:ser>
        <c:ser>
          <c:idx val="69"/>
          <c:order val="69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7B4D8"/>
              </a:solidFill>
              <a:ln>
                <a:solidFill>
                  <a:srgbClr val="C7B4D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380</c:v>
              </c:pt>
            </c:numLit>
          </c:xVal>
          <c:yVal>
            <c:numLit>
              <c:formatCode>General</c:formatCode>
              <c:ptCount val="1"/>
              <c:pt idx="0">
                <c:v>180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6E-7BAF-4EDE-BA35-9E45254D3367}"/>
            </c:ext>
          </c:extLst>
        </c:ser>
        <c:ser>
          <c:idx val="70"/>
          <c:order val="7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BBDD9"/>
              </a:solidFill>
              <a:ln>
                <a:solidFill>
                  <a:srgbClr val="CBBD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420</c:v>
              </c:pt>
            </c:numLit>
          </c:xVal>
          <c:yVal>
            <c:numLit>
              <c:formatCode>General</c:formatCode>
              <c:ptCount val="1"/>
              <c:pt idx="0">
                <c:v>180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6F-7BAF-4EDE-BA35-9E45254D3367}"/>
            </c:ext>
          </c:extLst>
        </c:ser>
        <c:ser>
          <c:idx val="71"/>
          <c:order val="7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D0C6D9"/>
              </a:solidFill>
              <a:ln>
                <a:solidFill>
                  <a:srgbClr val="D0C6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460</c:v>
              </c:pt>
            </c:numLit>
          </c:xVal>
          <c:yVal>
            <c:numLit>
              <c:formatCode>General</c:formatCode>
              <c:ptCount val="1"/>
              <c:pt idx="0">
                <c:v>180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70-7BAF-4EDE-BA35-9E45254D3367}"/>
            </c:ext>
          </c:extLst>
        </c:ser>
        <c:ser>
          <c:idx val="72"/>
          <c:order val="7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D4CFDA"/>
              </a:solidFill>
              <a:ln>
                <a:solidFill>
                  <a:srgbClr val="D4CFDA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500</c:v>
              </c:pt>
              <c:pt idx="1">
                <c:v>20</c:v>
              </c:pt>
            </c:numLit>
          </c:xVal>
          <c:yVal>
            <c:numLit>
              <c:formatCode>General</c:formatCode>
              <c:ptCount val="2"/>
              <c:pt idx="0">
                <c:v>180</c:v>
              </c:pt>
              <c:pt idx="1">
                <c:v>460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71-7BAF-4EDE-BA35-9E45254D3367}"/>
            </c:ext>
          </c:extLst>
        </c:ser>
        <c:ser>
          <c:idx val="73"/>
          <c:order val="73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D9D8DA"/>
              </a:solidFill>
              <a:ln>
                <a:solidFill>
                  <a:srgbClr val="D9D8DA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540</c:v>
              </c:pt>
              <c:pt idx="1">
                <c:v>60</c:v>
              </c:pt>
            </c:numLit>
          </c:xVal>
          <c:yVal>
            <c:numLit>
              <c:formatCode>General</c:formatCode>
              <c:ptCount val="2"/>
              <c:pt idx="0">
                <c:v>180</c:v>
              </c:pt>
              <c:pt idx="1">
                <c:v>460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72-7BAF-4EDE-BA35-9E45254D3367}"/>
            </c:ext>
          </c:extLst>
        </c:ser>
        <c:ser>
          <c:idx val="74"/>
          <c:order val="74"/>
          <c:tx>
            <c:v>Concrete InactiveTensionConcrete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DADADA"/>
              </a:solidFill>
              <a:ln>
                <a:solidFill>
                  <a:srgbClr val="DADADA"/>
                </a:solidFill>
                <a:prstDash val="solid"/>
              </a:ln>
            </c:spPr>
          </c:marker>
          <c:xVal>
            <c:numLit>
              <c:formatCode>General</c:formatCode>
              <c:ptCount val="60"/>
              <c:pt idx="0">
                <c:v>580</c:v>
              </c:pt>
              <c:pt idx="1">
                <c:v>500</c:v>
              </c:pt>
              <c:pt idx="2">
                <c:v>540</c:v>
              </c:pt>
              <c:pt idx="3">
                <c:v>580</c:v>
              </c:pt>
              <c:pt idx="4">
                <c:v>220</c:v>
              </c:pt>
              <c:pt idx="5">
                <c:v>140</c:v>
              </c:pt>
              <c:pt idx="6">
                <c:v>180</c:v>
              </c:pt>
              <c:pt idx="7">
                <c:v>220</c:v>
              </c:pt>
              <c:pt idx="8">
                <c:v>100</c:v>
              </c:pt>
              <c:pt idx="9">
                <c:v>140</c:v>
              </c:pt>
              <c:pt idx="10">
                <c:v>180</c:v>
              </c:pt>
              <c:pt idx="11">
                <c:v>220</c:v>
              </c:pt>
              <c:pt idx="12">
                <c:v>20</c:v>
              </c:pt>
              <c:pt idx="13">
                <c:v>60</c:v>
              </c:pt>
              <c:pt idx="14">
                <c:v>100</c:v>
              </c:pt>
              <c:pt idx="15">
                <c:v>140</c:v>
              </c:pt>
              <c:pt idx="16">
                <c:v>180</c:v>
              </c:pt>
              <c:pt idx="17">
                <c:v>220</c:v>
              </c:pt>
              <c:pt idx="18">
                <c:v>20</c:v>
              </c:pt>
              <c:pt idx="19">
                <c:v>60</c:v>
              </c:pt>
              <c:pt idx="20">
                <c:v>100</c:v>
              </c:pt>
              <c:pt idx="21">
                <c:v>140</c:v>
              </c:pt>
              <c:pt idx="22">
                <c:v>180</c:v>
              </c:pt>
              <c:pt idx="23">
                <c:v>220</c:v>
              </c:pt>
              <c:pt idx="24">
                <c:v>20</c:v>
              </c:pt>
              <c:pt idx="25">
                <c:v>60</c:v>
              </c:pt>
              <c:pt idx="26">
                <c:v>100</c:v>
              </c:pt>
              <c:pt idx="27">
                <c:v>140</c:v>
              </c:pt>
              <c:pt idx="28">
                <c:v>180</c:v>
              </c:pt>
              <c:pt idx="29">
                <c:v>220</c:v>
              </c:pt>
              <c:pt idx="30">
                <c:v>20</c:v>
              </c:pt>
              <c:pt idx="31">
                <c:v>60</c:v>
              </c:pt>
              <c:pt idx="32">
                <c:v>100</c:v>
              </c:pt>
              <c:pt idx="33">
                <c:v>140</c:v>
              </c:pt>
              <c:pt idx="34">
                <c:v>180</c:v>
              </c:pt>
              <c:pt idx="35">
                <c:v>220</c:v>
              </c:pt>
              <c:pt idx="36">
                <c:v>20</c:v>
              </c:pt>
              <c:pt idx="37">
                <c:v>60</c:v>
              </c:pt>
              <c:pt idx="38">
                <c:v>100</c:v>
              </c:pt>
              <c:pt idx="39">
                <c:v>140</c:v>
              </c:pt>
              <c:pt idx="40">
                <c:v>180</c:v>
              </c:pt>
              <c:pt idx="41">
                <c:v>220</c:v>
              </c:pt>
              <c:pt idx="42">
                <c:v>20</c:v>
              </c:pt>
              <c:pt idx="43">
                <c:v>60</c:v>
              </c:pt>
              <c:pt idx="44">
                <c:v>100</c:v>
              </c:pt>
              <c:pt idx="45">
                <c:v>140</c:v>
              </c:pt>
              <c:pt idx="46">
                <c:v>180</c:v>
              </c:pt>
              <c:pt idx="47">
                <c:v>220</c:v>
              </c:pt>
              <c:pt idx="48">
                <c:v>20</c:v>
              </c:pt>
              <c:pt idx="49">
                <c:v>60</c:v>
              </c:pt>
              <c:pt idx="50">
                <c:v>100</c:v>
              </c:pt>
              <c:pt idx="51">
                <c:v>140</c:v>
              </c:pt>
              <c:pt idx="52">
                <c:v>180</c:v>
              </c:pt>
              <c:pt idx="53">
                <c:v>220</c:v>
              </c:pt>
              <c:pt idx="54">
                <c:v>20</c:v>
              </c:pt>
              <c:pt idx="55">
                <c:v>60</c:v>
              </c:pt>
              <c:pt idx="56">
                <c:v>100</c:v>
              </c:pt>
              <c:pt idx="57">
                <c:v>140</c:v>
              </c:pt>
              <c:pt idx="58">
                <c:v>180</c:v>
              </c:pt>
              <c:pt idx="59">
                <c:v>220</c:v>
              </c:pt>
            </c:numLit>
          </c:xVal>
          <c:yVal>
            <c:numLit>
              <c:formatCode>General</c:formatCode>
              <c:ptCount val="60"/>
              <c:pt idx="0">
                <c:v>180</c:v>
              </c:pt>
              <c:pt idx="1">
                <c:v>220</c:v>
              </c:pt>
              <c:pt idx="2">
                <c:v>220</c:v>
              </c:pt>
              <c:pt idx="3">
                <c:v>220</c:v>
              </c:pt>
              <c:pt idx="4">
                <c:v>380</c:v>
              </c:pt>
              <c:pt idx="5">
                <c:v>420</c:v>
              </c:pt>
              <c:pt idx="6">
                <c:v>420</c:v>
              </c:pt>
              <c:pt idx="7">
                <c:v>420</c:v>
              </c:pt>
              <c:pt idx="8">
                <c:v>460</c:v>
              </c:pt>
              <c:pt idx="9">
                <c:v>460</c:v>
              </c:pt>
              <c:pt idx="10">
                <c:v>460</c:v>
              </c:pt>
              <c:pt idx="11">
                <c:v>460</c:v>
              </c:pt>
              <c:pt idx="12">
                <c:v>500</c:v>
              </c:pt>
              <c:pt idx="13">
                <c:v>500</c:v>
              </c:pt>
              <c:pt idx="14">
                <c:v>500</c:v>
              </c:pt>
              <c:pt idx="15">
                <c:v>500</c:v>
              </c:pt>
              <c:pt idx="16">
                <c:v>500</c:v>
              </c:pt>
              <c:pt idx="17">
                <c:v>500</c:v>
              </c:pt>
              <c:pt idx="18">
                <c:v>540</c:v>
              </c:pt>
              <c:pt idx="19">
                <c:v>540</c:v>
              </c:pt>
              <c:pt idx="20">
                <c:v>540</c:v>
              </c:pt>
              <c:pt idx="21">
                <c:v>540</c:v>
              </c:pt>
              <c:pt idx="22">
                <c:v>540</c:v>
              </c:pt>
              <c:pt idx="23">
                <c:v>540</c:v>
              </c:pt>
              <c:pt idx="24">
                <c:v>580</c:v>
              </c:pt>
              <c:pt idx="25">
                <c:v>580</c:v>
              </c:pt>
              <c:pt idx="26">
                <c:v>580</c:v>
              </c:pt>
              <c:pt idx="27">
                <c:v>580</c:v>
              </c:pt>
              <c:pt idx="28">
                <c:v>580</c:v>
              </c:pt>
              <c:pt idx="29">
                <c:v>580</c:v>
              </c:pt>
              <c:pt idx="30">
                <c:v>620</c:v>
              </c:pt>
              <c:pt idx="31">
                <c:v>620</c:v>
              </c:pt>
              <c:pt idx="32">
                <c:v>620</c:v>
              </c:pt>
              <c:pt idx="33">
                <c:v>620</c:v>
              </c:pt>
              <c:pt idx="34">
                <c:v>620</c:v>
              </c:pt>
              <c:pt idx="35">
                <c:v>620</c:v>
              </c:pt>
              <c:pt idx="36">
                <c:v>660</c:v>
              </c:pt>
              <c:pt idx="37">
                <c:v>660</c:v>
              </c:pt>
              <c:pt idx="38">
                <c:v>660</c:v>
              </c:pt>
              <c:pt idx="39">
                <c:v>660</c:v>
              </c:pt>
              <c:pt idx="40">
                <c:v>660</c:v>
              </c:pt>
              <c:pt idx="41">
                <c:v>660</c:v>
              </c:pt>
              <c:pt idx="42">
                <c:v>700</c:v>
              </c:pt>
              <c:pt idx="43">
                <c:v>700</c:v>
              </c:pt>
              <c:pt idx="44">
                <c:v>700</c:v>
              </c:pt>
              <c:pt idx="45">
                <c:v>700</c:v>
              </c:pt>
              <c:pt idx="46">
                <c:v>700</c:v>
              </c:pt>
              <c:pt idx="47">
                <c:v>700</c:v>
              </c:pt>
              <c:pt idx="48">
                <c:v>740</c:v>
              </c:pt>
              <c:pt idx="49">
                <c:v>740</c:v>
              </c:pt>
              <c:pt idx="50">
                <c:v>740</c:v>
              </c:pt>
              <c:pt idx="51">
                <c:v>740</c:v>
              </c:pt>
              <c:pt idx="52">
                <c:v>740</c:v>
              </c:pt>
              <c:pt idx="53">
                <c:v>740</c:v>
              </c:pt>
              <c:pt idx="54">
                <c:v>780</c:v>
              </c:pt>
              <c:pt idx="55">
                <c:v>780</c:v>
              </c:pt>
              <c:pt idx="56">
                <c:v>780</c:v>
              </c:pt>
              <c:pt idx="57">
                <c:v>780</c:v>
              </c:pt>
              <c:pt idx="58">
                <c:v>780</c:v>
              </c:pt>
              <c:pt idx="59">
                <c:v>780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73-7BAF-4EDE-BA35-9E45254D3367}"/>
            </c:ext>
          </c:extLst>
        </c:ser>
        <c:ser>
          <c:idx val="75"/>
          <c:order val="75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A571D5"/>
              </a:solidFill>
              <a:ln>
                <a:solidFill>
                  <a:srgbClr val="A571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20</c:v>
              </c:pt>
            </c:numLit>
          </c:xVal>
          <c:yVal>
            <c:numLit>
              <c:formatCode>General</c:formatCode>
              <c:ptCount val="1"/>
              <c:pt idx="0">
                <c:v>220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74-7BAF-4EDE-BA35-9E45254D3367}"/>
            </c:ext>
          </c:extLst>
        </c:ser>
        <c:ser>
          <c:idx val="76"/>
          <c:order val="76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A97AD6"/>
              </a:solidFill>
              <a:ln>
                <a:solidFill>
                  <a:srgbClr val="A97A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60</c:v>
              </c:pt>
            </c:numLit>
          </c:xVal>
          <c:yVal>
            <c:numLit>
              <c:formatCode>General</c:formatCode>
              <c:ptCount val="1"/>
              <c:pt idx="0">
                <c:v>220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75-7BAF-4EDE-BA35-9E45254D3367}"/>
            </c:ext>
          </c:extLst>
        </c:ser>
        <c:ser>
          <c:idx val="77"/>
          <c:order val="77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AE83D6"/>
              </a:solidFill>
              <a:ln>
                <a:solidFill>
                  <a:srgbClr val="AE83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100</c:v>
              </c:pt>
            </c:numLit>
          </c:xVal>
          <c:yVal>
            <c:numLit>
              <c:formatCode>General</c:formatCode>
              <c:ptCount val="1"/>
              <c:pt idx="0">
                <c:v>220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76-7BAF-4EDE-BA35-9E45254D3367}"/>
            </c:ext>
          </c:extLst>
        </c:ser>
        <c:ser>
          <c:idx val="78"/>
          <c:order val="78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38DD7"/>
              </a:solidFill>
              <a:ln>
                <a:solidFill>
                  <a:srgbClr val="B38D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140</c:v>
              </c:pt>
            </c:numLit>
          </c:xVal>
          <c:yVal>
            <c:numLit>
              <c:formatCode>General</c:formatCode>
              <c:ptCount val="1"/>
              <c:pt idx="0">
                <c:v>220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77-7BAF-4EDE-BA35-9E45254D3367}"/>
            </c:ext>
          </c:extLst>
        </c:ser>
        <c:ser>
          <c:idx val="79"/>
          <c:order val="79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796D7"/>
              </a:solidFill>
              <a:ln>
                <a:solidFill>
                  <a:srgbClr val="B796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180</c:v>
              </c:pt>
            </c:numLit>
          </c:xVal>
          <c:yVal>
            <c:numLit>
              <c:formatCode>General</c:formatCode>
              <c:ptCount val="1"/>
              <c:pt idx="0">
                <c:v>220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78-7BAF-4EDE-BA35-9E45254D3367}"/>
            </c:ext>
          </c:extLst>
        </c:ser>
        <c:ser>
          <c:idx val="80"/>
          <c:order val="8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C9FD7"/>
              </a:solidFill>
              <a:ln>
                <a:solidFill>
                  <a:srgbClr val="BC9F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220</c:v>
              </c:pt>
            </c:numLit>
          </c:xVal>
          <c:yVal>
            <c:numLit>
              <c:formatCode>General</c:formatCode>
              <c:ptCount val="1"/>
              <c:pt idx="0">
                <c:v>220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79-7BAF-4EDE-BA35-9E45254D3367}"/>
            </c:ext>
          </c:extLst>
        </c:ser>
        <c:ser>
          <c:idx val="81"/>
          <c:order val="8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1A8D8"/>
              </a:solidFill>
              <a:ln>
                <a:solidFill>
                  <a:srgbClr val="C1A8D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260</c:v>
              </c:pt>
            </c:numLit>
          </c:xVal>
          <c:yVal>
            <c:numLit>
              <c:formatCode>General</c:formatCode>
              <c:ptCount val="1"/>
              <c:pt idx="0">
                <c:v>220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7A-7BAF-4EDE-BA35-9E45254D3367}"/>
            </c:ext>
          </c:extLst>
        </c:ser>
        <c:ser>
          <c:idx val="82"/>
          <c:order val="8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5B1D8"/>
              </a:solidFill>
              <a:ln>
                <a:solidFill>
                  <a:srgbClr val="C5B1D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300</c:v>
              </c:pt>
            </c:numLit>
          </c:xVal>
          <c:yVal>
            <c:numLit>
              <c:formatCode>General</c:formatCode>
              <c:ptCount val="1"/>
              <c:pt idx="0">
                <c:v>220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7B-7BAF-4EDE-BA35-9E45254D3367}"/>
            </c:ext>
          </c:extLst>
        </c:ser>
        <c:ser>
          <c:idx val="83"/>
          <c:order val="83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ABAD9"/>
              </a:solidFill>
              <a:ln>
                <a:solidFill>
                  <a:srgbClr val="CABA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340</c:v>
              </c:pt>
            </c:numLit>
          </c:xVal>
          <c:yVal>
            <c:numLit>
              <c:formatCode>General</c:formatCode>
              <c:ptCount val="1"/>
              <c:pt idx="0">
                <c:v>220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7C-7BAF-4EDE-BA35-9E45254D3367}"/>
            </c:ext>
          </c:extLst>
        </c:ser>
        <c:ser>
          <c:idx val="84"/>
          <c:order val="84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EC3D9"/>
              </a:solidFill>
              <a:ln>
                <a:solidFill>
                  <a:srgbClr val="CEC3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380</c:v>
              </c:pt>
            </c:numLit>
          </c:xVal>
          <c:yVal>
            <c:numLit>
              <c:formatCode>General</c:formatCode>
              <c:ptCount val="1"/>
              <c:pt idx="0">
                <c:v>220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7D-7BAF-4EDE-BA35-9E45254D3367}"/>
            </c:ext>
          </c:extLst>
        </c:ser>
        <c:ser>
          <c:idx val="85"/>
          <c:order val="85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D3CCD9"/>
              </a:solidFill>
              <a:ln>
                <a:solidFill>
                  <a:srgbClr val="D3CC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420</c:v>
              </c:pt>
            </c:numLit>
          </c:xVal>
          <c:yVal>
            <c:numLit>
              <c:formatCode>General</c:formatCode>
              <c:ptCount val="1"/>
              <c:pt idx="0">
                <c:v>220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7E-7BAF-4EDE-BA35-9E45254D3367}"/>
            </c:ext>
          </c:extLst>
        </c:ser>
        <c:ser>
          <c:idx val="86"/>
          <c:order val="86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D8D6DA"/>
              </a:solidFill>
              <a:ln>
                <a:solidFill>
                  <a:srgbClr val="D8D6DA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460</c:v>
              </c:pt>
            </c:numLit>
          </c:xVal>
          <c:yVal>
            <c:numLit>
              <c:formatCode>General</c:formatCode>
              <c:ptCount val="1"/>
              <c:pt idx="0">
                <c:v>220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7F-7BAF-4EDE-BA35-9E45254D3367}"/>
            </c:ext>
          </c:extLst>
        </c:ser>
        <c:ser>
          <c:idx val="87"/>
          <c:order val="87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AD81D6"/>
              </a:solidFill>
              <a:ln>
                <a:solidFill>
                  <a:srgbClr val="AD81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20</c:v>
              </c:pt>
            </c:numLit>
          </c:xVal>
          <c:yVal>
            <c:numLit>
              <c:formatCode>General</c:formatCode>
              <c:ptCount val="1"/>
              <c:pt idx="0">
                <c:v>260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80-7BAF-4EDE-BA35-9E45254D3367}"/>
            </c:ext>
          </c:extLst>
        </c:ser>
        <c:ser>
          <c:idx val="88"/>
          <c:order val="88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18AD7"/>
              </a:solidFill>
              <a:ln>
                <a:solidFill>
                  <a:srgbClr val="B18A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60</c:v>
              </c:pt>
            </c:numLit>
          </c:xVal>
          <c:yVal>
            <c:numLit>
              <c:formatCode>General</c:formatCode>
              <c:ptCount val="1"/>
              <c:pt idx="0">
                <c:v>260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81-7BAF-4EDE-BA35-9E45254D3367}"/>
            </c:ext>
          </c:extLst>
        </c:ser>
        <c:ser>
          <c:idx val="89"/>
          <c:order val="89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693D7"/>
              </a:solidFill>
              <a:ln>
                <a:solidFill>
                  <a:srgbClr val="B693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100</c:v>
              </c:pt>
            </c:numLit>
          </c:xVal>
          <c:yVal>
            <c:numLit>
              <c:formatCode>General</c:formatCode>
              <c:ptCount val="1"/>
              <c:pt idx="0">
                <c:v>260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82-7BAF-4EDE-BA35-9E45254D3367}"/>
            </c:ext>
          </c:extLst>
        </c:ser>
        <c:ser>
          <c:idx val="90"/>
          <c:order val="9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B9CD7"/>
              </a:solidFill>
              <a:ln>
                <a:solidFill>
                  <a:srgbClr val="BB9C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140</c:v>
              </c:pt>
            </c:numLit>
          </c:xVal>
          <c:yVal>
            <c:numLit>
              <c:formatCode>General</c:formatCode>
              <c:ptCount val="1"/>
              <c:pt idx="0">
                <c:v>260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83-7BAF-4EDE-BA35-9E45254D3367}"/>
            </c:ext>
          </c:extLst>
        </c:ser>
        <c:ser>
          <c:idx val="91"/>
          <c:order val="9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FA5D8"/>
              </a:solidFill>
              <a:ln>
                <a:solidFill>
                  <a:srgbClr val="BFA5D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180</c:v>
              </c:pt>
            </c:numLit>
          </c:xVal>
          <c:yVal>
            <c:numLit>
              <c:formatCode>General</c:formatCode>
              <c:ptCount val="1"/>
              <c:pt idx="0">
                <c:v>260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84-7BAF-4EDE-BA35-9E45254D3367}"/>
            </c:ext>
          </c:extLst>
        </c:ser>
        <c:ser>
          <c:idx val="92"/>
          <c:order val="9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4AED8"/>
              </a:solidFill>
              <a:ln>
                <a:solidFill>
                  <a:srgbClr val="C4AED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220</c:v>
              </c:pt>
            </c:numLit>
          </c:xVal>
          <c:yVal>
            <c:numLit>
              <c:formatCode>General</c:formatCode>
              <c:ptCount val="1"/>
              <c:pt idx="0">
                <c:v>260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85-7BAF-4EDE-BA35-9E45254D3367}"/>
            </c:ext>
          </c:extLst>
        </c:ser>
        <c:ser>
          <c:idx val="93"/>
          <c:order val="93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B591D7"/>
              </a:solidFill>
              <a:ln>
                <a:solidFill>
                  <a:srgbClr val="B591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20</c:v>
              </c:pt>
            </c:numLit>
          </c:xVal>
          <c:yVal>
            <c:numLit>
              <c:formatCode>General</c:formatCode>
              <c:ptCount val="1"/>
              <c:pt idx="0">
                <c:v>300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86-7BAF-4EDE-BA35-9E45254D3367}"/>
            </c:ext>
          </c:extLst>
        </c:ser>
        <c:ser>
          <c:idx val="94"/>
          <c:order val="94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3ACD8"/>
              </a:solidFill>
              <a:ln>
                <a:solidFill>
                  <a:srgbClr val="C3ACD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140</c:v>
              </c:pt>
            </c:numLit>
          </c:xVal>
          <c:yVal>
            <c:numLit>
              <c:formatCode>General</c:formatCode>
              <c:ptCount val="1"/>
              <c:pt idx="0">
                <c:v>300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87-7BAF-4EDE-BA35-9E45254D3367}"/>
            </c:ext>
          </c:extLst>
        </c:ser>
        <c:ser>
          <c:idx val="95"/>
          <c:order val="95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7B5D8"/>
              </a:solidFill>
              <a:ln>
                <a:solidFill>
                  <a:srgbClr val="C7B5D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180</c:v>
              </c:pt>
            </c:numLit>
          </c:xVal>
          <c:yVal>
            <c:numLit>
              <c:formatCode>General</c:formatCode>
              <c:ptCount val="1"/>
              <c:pt idx="0">
                <c:v>300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88-7BAF-4EDE-BA35-9E45254D3367}"/>
            </c:ext>
          </c:extLst>
        </c:ser>
        <c:ser>
          <c:idx val="96"/>
          <c:order val="96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CBED9"/>
              </a:solidFill>
              <a:ln>
                <a:solidFill>
                  <a:srgbClr val="CCBE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220</c:v>
              </c:pt>
            </c:numLit>
          </c:xVal>
          <c:yVal>
            <c:numLit>
              <c:formatCode>General</c:formatCode>
              <c:ptCount val="1"/>
              <c:pt idx="0">
                <c:v>300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89-7BAF-4EDE-BA35-9E45254D3367}"/>
            </c:ext>
          </c:extLst>
        </c:ser>
        <c:ser>
          <c:idx val="97"/>
          <c:order val="97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BBCD9"/>
              </a:solidFill>
              <a:ln>
                <a:solidFill>
                  <a:srgbClr val="CBBC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140</c:v>
              </c:pt>
            </c:numLit>
          </c:xVal>
          <c:yVal>
            <c:numLit>
              <c:formatCode>General</c:formatCode>
              <c:ptCount val="1"/>
              <c:pt idx="0">
                <c:v>340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8A-7BAF-4EDE-BA35-9E45254D3367}"/>
            </c:ext>
          </c:extLst>
        </c:ser>
        <c:ser>
          <c:idx val="98"/>
          <c:order val="98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FC5D9"/>
              </a:solidFill>
              <a:ln>
                <a:solidFill>
                  <a:srgbClr val="CFC5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180</c:v>
              </c:pt>
            </c:numLit>
          </c:xVal>
          <c:yVal>
            <c:numLit>
              <c:formatCode>General</c:formatCode>
              <c:ptCount val="1"/>
              <c:pt idx="0">
                <c:v>340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8B-7BAF-4EDE-BA35-9E45254D3367}"/>
            </c:ext>
          </c:extLst>
        </c:ser>
        <c:ser>
          <c:idx val="99"/>
          <c:order val="99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D4CED9"/>
              </a:solidFill>
              <a:ln>
                <a:solidFill>
                  <a:srgbClr val="D4CE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220</c:v>
              </c:pt>
            </c:numLit>
          </c:xVal>
          <c:yVal>
            <c:numLit>
              <c:formatCode>General</c:formatCode>
              <c:ptCount val="1"/>
              <c:pt idx="0">
                <c:v>340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8C-7BAF-4EDE-BA35-9E45254D3367}"/>
            </c:ext>
          </c:extLst>
        </c:ser>
        <c:ser>
          <c:idx val="100"/>
          <c:order val="10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D2CBD9"/>
              </a:solidFill>
              <a:ln>
                <a:solidFill>
                  <a:srgbClr val="D2CB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140</c:v>
              </c:pt>
            </c:numLit>
          </c:xVal>
          <c:yVal>
            <c:numLit>
              <c:formatCode>General</c:formatCode>
              <c:ptCount val="1"/>
              <c:pt idx="0">
                <c:v>380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8D-7BAF-4EDE-BA35-9E45254D3367}"/>
            </c:ext>
          </c:extLst>
        </c:ser>
        <c:ser>
          <c:idx val="101"/>
          <c:order val="10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D7D4DA"/>
              </a:solidFill>
              <a:ln>
                <a:solidFill>
                  <a:srgbClr val="D7D4DA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180</c:v>
              </c:pt>
            </c:numLit>
          </c:xVal>
          <c:yVal>
            <c:numLit>
              <c:formatCode>General</c:formatCode>
              <c:ptCount val="1"/>
              <c:pt idx="0">
                <c:v>380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8E-7BAF-4EDE-BA35-9E45254D3367}"/>
            </c:ext>
          </c:extLst>
        </c:ser>
        <c:ser>
          <c:idx val="102"/>
          <c:order val="10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CDBFD9"/>
              </a:solidFill>
              <a:ln>
                <a:solidFill>
                  <a:srgbClr val="CDBF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20</c:v>
              </c:pt>
            </c:numLit>
          </c:xVal>
          <c:yVal>
            <c:numLit>
              <c:formatCode>General</c:formatCode>
              <c:ptCount val="1"/>
              <c:pt idx="0">
                <c:v>420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8F-7BAF-4EDE-BA35-9E45254D3367}"/>
            </c:ext>
          </c:extLst>
        </c:ser>
        <c:ser>
          <c:idx val="103"/>
          <c:order val="103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3"/>
            <c:spPr>
              <a:solidFill>
                <a:srgbClr val="D1C9D9"/>
              </a:solidFill>
              <a:ln>
                <a:solidFill>
                  <a:srgbClr val="D1C9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60</c:v>
              </c:pt>
            </c:numLit>
          </c:xVal>
          <c:yVal>
            <c:numLit>
              <c:formatCode>General</c:formatCode>
              <c:ptCount val="1"/>
              <c:pt idx="0">
                <c:v>420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90-7BAF-4EDE-BA35-9E45254D3367}"/>
            </c:ext>
          </c:extLst>
        </c:ser>
        <c:ser>
          <c:idx val="104"/>
          <c:order val="104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C0C7DA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40</c:v>
              </c:pt>
              <c:pt idx="1">
                <c:v>210</c:v>
              </c:pt>
            </c:numLit>
          </c:xVal>
          <c:yVal>
            <c:numLit>
              <c:formatCode>General</c:formatCode>
              <c:ptCount val="2"/>
              <c:pt idx="0">
                <c:v>525</c:v>
              </c:pt>
              <c:pt idx="1">
                <c:v>427.5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91-7BAF-4EDE-BA35-9E45254D3367}"/>
            </c:ext>
          </c:extLst>
        </c:ser>
        <c:ser>
          <c:idx val="105"/>
          <c:order val="105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9C4C3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427.5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92-7BAF-4EDE-BA35-9E45254D3367}"/>
            </c:ext>
          </c:extLst>
        </c:ser>
        <c:ser>
          <c:idx val="106"/>
          <c:order val="106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8DA2D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622.5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93-7BAF-4EDE-BA35-9E45254D3367}"/>
            </c:ext>
          </c:extLst>
        </c:ser>
        <c:ser>
          <c:idx val="107"/>
          <c:order val="107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79794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330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94-7BAF-4EDE-BA35-9E45254D3367}"/>
            </c:ext>
          </c:extLst>
        </c:ser>
        <c:ser>
          <c:idx val="108"/>
          <c:order val="108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5B7CD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720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95-7BAF-4EDE-BA35-9E45254D3367}"/>
            </c:ext>
          </c:extLst>
        </c:ser>
        <c:ser>
          <c:idx val="109"/>
          <c:order val="109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8DA1D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210</c:v>
              </c:pt>
            </c:numLit>
          </c:xVal>
          <c:yVal>
            <c:numLit>
              <c:formatCode>General</c:formatCode>
              <c:ptCount val="1"/>
              <c:pt idx="0">
                <c:v>525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96-7BAF-4EDE-BA35-9E45254D3367}"/>
            </c:ext>
          </c:extLst>
        </c:ser>
        <c:ser>
          <c:idx val="110"/>
          <c:order val="110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5A7CD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210</c:v>
              </c:pt>
            </c:numLit>
          </c:xVal>
          <c:yVal>
            <c:numLit>
              <c:formatCode>General</c:formatCode>
              <c:ptCount val="1"/>
              <c:pt idx="0">
                <c:v>622.5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97-7BAF-4EDE-BA35-9E45254D3367}"/>
            </c:ext>
          </c:extLst>
        </c:ser>
        <c:ser>
          <c:idx val="111"/>
          <c:order val="111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2756D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210</c:v>
              </c:pt>
            </c:numLit>
          </c:xVal>
          <c:yVal>
            <c:numLit>
              <c:formatCode>General</c:formatCode>
              <c:ptCount val="1"/>
              <c:pt idx="0">
                <c:v>720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98-7BAF-4EDE-BA35-9E45254D3367}"/>
            </c:ext>
          </c:extLst>
        </c:ser>
        <c:ser>
          <c:idx val="112"/>
          <c:order val="112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9C5C3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210</c:v>
              </c:pt>
            </c:numLit>
          </c:xVal>
          <c:yVal>
            <c:numLit>
              <c:formatCode>General</c:formatCode>
              <c:ptCount val="1"/>
              <c:pt idx="0">
                <c:v>330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99-7BAF-4EDE-BA35-9E45254D3367}"/>
            </c:ext>
          </c:extLst>
        </c:ser>
        <c:ser>
          <c:idx val="113"/>
          <c:order val="113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3964D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80</c:v>
              </c:pt>
            </c:numLit>
          </c:xVal>
          <c:yVal>
            <c:numLit>
              <c:formatCode>General</c:formatCode>
              <c:ptCount val="1"/>
              <c:pt idx="0">
                <c:v>760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9A-7BAF-4EDE-BA35-9E45254D3367}"/>
            </c:ext>
          </c:extLst>
        </c:ser>
        <c:ser>
          <c:idx val="114"/>
          <c:order val="114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1E50D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170</c:v>
              </c:pt>
            </c:numLit>
          </c:xVal>
          <c:yVal>
            <c:numLit>
              <c:formatCode>General</c:formatCode>
              <c:ptCount val="1"/>
              <c:pt idx="0">
                <c:v>760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9B-7BAF-4EDE-BA35-9E45254D3367}"/>
            </c:ext>
          </c:extLst>
        </c:ser>
        <c:ser>
          <c:idx val="115"/>
          <c:order val="115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8A8A5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170</c:v>
              </c:pt>
            </c:numLit>
          </c:xVal>
          <c:yVal>
            <c:numLit>
              <c:formatCode>General</c:formatCode>
              <c:ptCount val="1"/>
              <c:pt idx="0">
                <c:v>290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9C-7BAF-4EDE-BA35-9E45254D3367}"/>
            </c:ext>
          </c:extLst>
        </c:ser>
        <c:ser>
          <c:idx val="116"/>
          <c:order val="116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7908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79.999999999999986</c:v>
              </c:pt>
            </c:numLit>
          </c:xVal>
          <c:yVal>
            <c:numLit>
              <c:formatCode>General</c:formatCode>
              <c:ptCount val="1"/>
              <c:pt idx="0">
                <c:v>290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9D-7BAF-4EDE-BA35-9E45254D3367}"/>
            </c:ext>
          </c:extLst>
        </c:ser>
        <c:ser>
          <c:idx val="117"/>
          <c:order val="117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2261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9E-7BAF-4EDE-BA35-9E45254D3367}"/>
            </c:ext>
          </c:extLst>
        </c:ser>
        <c:ser>
          <c:idx val="118"/>
          <c:order val="118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44F47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170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9F-7BAF-4EDE-BA35-9E45254D3367}"/>
            </c:ext>
          </c:extLst>
        </c:ser>
        <c:ser>
          <c:idx val="119"/>
          <c:order val="119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AD9D8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560</c:v>
              </c:pt>
            </c:numLit>
          </c:xVal>
          <c:yVal>
            <c:numLit>
              <c:formatCode>General</c:formatCode>
              <c:ptCount val="1"/>
              <c:pt idx="0">
                <c:v>170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A0-7BAF-4EDE-BA35-9E45254D3367}"/>
            </c:ext>
          </c:extLst>
        </c:ser>
        <c:ser>
          <c:idx val="120"/>
          <c:order val="120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8B0AD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560</c:v>
              </c:pt>
            </c:numLit>
          </c:xVal>
          <c:yVal>
            <c:numLit>
              <c:formatCode>General</c:formatCode>
              <c:ptCount val="1"/>
              <c:pt idx="0">
                <c:v>79.999999999999986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A1-7BAF-4EDE-BA35-9E45254D3367}"/>
            </c:ext>
          </c:extLst>
        </c:ser>
        <c:ser>
          <c:idx val="121"/>
          <c:order val="121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8A6A3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300</c:v>
              </c:pt>
            </c:numLit>
          </c:xVal>
          <c:yVal>
            <c:numLit>
              <c:formatCode>General</c:formatCode>
              <c:ptCount val="1"/>
              <c:pt idx="0">
                <c:v>210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A2-7BAF-4EDE-BA35-9E45254D3367}"/>
            </c:ext>
          </c:extLst>
        </c:ser>
        <c:ser>
          <c:idx val="122"/>
          <c:order val="122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78984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190</c:v>
              </c:pt>
            </c:numLit>
          </c:xVal>
          <c:yVal>
            <c:numLit>
              <c:formatCode>General</c:formatCode>
              <c:ptCount val="1"/>
              <c:pt idx="0">
                <c:v>210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A3-7BAF-4EDE-BA35-9E45254D3367}"/>
            </c:ext>
          </c:extLst>
        </c:ser>
        <c:ser>
          <c:idx val="123"/>
          <c:order val="123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9C3C2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410</c:v>
              </c:pt>
            </c:numLit>
          </c:xVal>
          <c:yVal>
            <c:numLit>
              <c:formatCode>General</c:formatCode>
              <c:ptCount val="1"/>
              <c:pt idx="0">
                <c:v>210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A4-7BAF-4EDE-BA35-9E45254D3367}"/>
            </c:ext>
          </c:extLst>
        </c:ser>
        <c:ser>
          <c:idx val="124"/>
          <c:order val="124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56B66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80</c:v>
              </c:pt>
            </c:numLit>
          </c:xVal>
          <c:yVal>
            <c:numLit>
              <c:formatCode>General</c:formatCode>
              <c:ptCount val="1"/>
              <c:pt idx="0">
                <c:v>210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A5-7BAF-4EDE-BA35-9E45254D3367}"/>
            </c:ext>
          </c:extLst>
        </c:ser>
        <c:ser>
          <c:idx val="125"/>
          <c:order val="125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3D5DA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520</c:v>
              </c:pt>
            </c:numLit>
          </c:xVal>
          <c:yVal>
            <c:numLit>
              <c:formatCode>General</c:formatCode>
              <c:ptCount val="1"/>
              <c:pt idx="0">
                <c:v>210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A6-7BAF-4EDE-BA35-9E45254D3367}"/>
            </c:ext>
          </c:extLst>
        </c:ser>
        <c:ser>
          <c:idx val="126"/>
          <c:order val="126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45851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300</c:v>
              </c:pt>
            </c:numLit>
          </c:xVal>
          <c:yVal>
            <c:numLit>
              <c:formatCode>General</c:formatCode>
              <c:ptCount val="1"/>
              <c:pt idx="0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A7-7BAF-4EDE-BA35-9E45254D3367}"/>
            </c:ext>
          </c:extLst>
        </c:ser>
        <c:ser>
          <c:idx val="127"/>
          <c:order val="127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6767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410</c:v>
              </c:pt>
            </c:numLit>
          </c:xVal>
          <c:yVal>
            <c:numLit>
              <c:formatCode>General</c:formatCode>
              <c:ptCount val="1"/>
              <c:pt idx="0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A8-7BAF-4EDE-BA35-9E45254D3367}"/>
            </c:ext>
          </c:extLst>
        </c:ser>
        <c:ser>
          <c:idx val="128"/>
          <c:order val="128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33B33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190</c:v>
              </c:pt>
            </c:numLit>
          </c:xVal>
          <c:yVal>
            <c:numLit>
              <c:formatCode>General</c:formatCode>
              <c:ptCount val="1"/>
              <c:pt idx="0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A9-7BAF-4EDE-BA35-9E45254D3367}"/>
            </c:ext>
          </c:extLst>
        </c:ser>
        <c:ser>
          <c:idx val="129"/>
          <c:order val="129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7938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520</c:v>
              </c:pt>
            </c:numLit>
          </c:xVal>
          <c:yVal>
            <c:numLit>
              <c:formatCode>General</c:formatCode>
              <c:ptCount val="1"/>
              <c:pt idx="0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AA-7BAF-4EDE-BA35-9E45254D3367}"/>
            </c:ext>
          </c:extLst>
        </c:ser>
        <c:ser>
          <c:idx val="130"/>
          <c:order val="130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21E14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79.999999999999986</c:v>
              </c:pt>
            </c:numLit>
          </c:xVal>
          <c:yVal>
            <c:numLit>
              <c:formatCode>General</c:formatCode>
              <c:ptCount val="1"/>
              <c:pt idx="0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AB-7BAF-4EDE-BA35-9E45254D3367}"/>
            </c:ext>
          </c:extLst>
        </c:ser>
        <c:ser>
          <c:idx val="131"/>
          <c:order val="131"/>
          <c:tx>
            <c:v>NDMPlot_NeutralAxis132</c:v>
          </c:tx>
          <c:spPr>
            <a:ln w="3175">
              <a:solidFill>
                <a:srgbClr val="696969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600</c:v>
              </c:pt>
              <c:pt idx="1">
                <c:v>-2.4727050147782113E-14</c:v>
              </c:pt>
            </c:numLit>
          </c:xVal>
          <c:yVal>
            <c:numLit>
              <c:formatCode>General</c:formatCode>
              <c:ptCount val="2"/>
              <c:pt idx="0">
                <c:v>149.84505396571461</c:v>
              </c:pt>
              <c:pt idx="1">
                <c:v>499.46922922107541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AC-7BAF-4EDE-BA35-9E45254D3367}"/>
            </c:ext>
          </c:extLst>
        </c:ser>
        <c:ser>
          <c:idx val="132"/>
          <c:order val="132"/>
          <c:tx>
            <c:v>NDMPlot_Principal1133</c:v>
          </c:tx>
          <c:spPr>
            <a:ln w="3175">
              <a:solidFill>
                <a:srgbClr val="000000"/>
              </a:solidFill>
              <a:prstDash val="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-65.780520630107688</c:v>
              </c:pt>
              <c:pt idx="1">
                <c:v>491.26625827363745</c:v>
              </c:pt>
            </c:numLit>
          </c:xVal>
          <c:yVal>
            <c:numLit>
              <c:formatCode>General</c:formatCode>
              <c:ptCount val="2"/>
              <c:pt idx="0">
                <c:v>-267.09090678019805</c:v>
              </c:pt>
              <c:pt idx="1">
                <c:v>907.51493609347085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AD-7BAF-4EDE-BA35-9E45254D3367}"/>
            </c:ext>
          </c:extLst>
        </c:ser>
        <c:ser>
          <c:idx val="133"/>
          <c:order val="133"/>
          <c:tx>
            <c:v>NDMPlot_Principal2134</c:v>
          </c:tx>
          <c:spPr>
            <a:ln w="3175">
              <a:solidFill>
                <a:srgbClr val="000000"/>
              </a:solidFill>
              <a:prstDash val="dashDot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800.04579025859925</c:v>
              </c:pt>
              <c:pt idx="1">
                <c:v>-374.56005261506954</c:v>
              </c:pt>
            </c:numLit>
          </c:xVal>
          <c:yVal>
            <c:numLit>
              <c:formatCode>General</c:formatCode>
              <c:ptCount val="2"/>
              <c:pt idx="0">
                <c:v>41.688625204763795</c:v>
              </c:pt>
              <c:pt idx="1">
                <c:v>598.73540410850899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AE-7BAF-4EDE-BA35-9E45254D3367}"/>
            </c:ext>
          </c:extLst>
        </c:ser>
        <c:ser>
          <c:idx val="134"/>
          <c:order val="134"/>
          <c:tx>
            <c:v>NDMPlot_LoadPoint</c:v>
          </c:tx>
          <c:spPr>
            <a:ln w="19050">
              <a:noFill/>
            </a:ln>
          </c:spPr>
          <c:marker>
            <c:symbol val="diamond"/>
            <c:size val="10"/>
            <c:spPr>
              <a:solidFill>
                <a:srgbClr val="FF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212.74286882176489</c:v>
              </c:pt>
            </c:numLit>
          </c:xVal>
          <c:yVal>
            <c:numLit>
              <c:formatCode>General</c:formatCode>
              <c:ptCount val="1"/>
              <c:pt idx="0">
                <c:v>320.21201465663637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5AF-7BAF-4EDE-BA35-9E45254D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261560"/>
        <c:axId val="502262544"/>
      </c:scatterChart>
      <c:valAx>
        <c:axId val="502261560"/>
        <c:scaling>
          <c:orientation val="minMax"/>
          <c:max val="1056.9914529914531"/>
          <c:min val="-408.991452991453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02262544"/>
        <c:crosses val="autoZero"/>
        <c:crossBetween val="midCat"/>
      </c:valAx>
      <c:valAx>
        <c:axId val="502262544"/>
        <c:scaling>
          <c:orientation val="minMax"/>
          <c:max val="928"/>
          <c:min val="-144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02261560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40</xdr:col>
      <xdr:colOff>76200</xdr:colOff>
      <xdr:row>5</xdr:row>
      <xdr:rowOff>12700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B7BF2F6A-7D61-4804-B8EB-4AB5FA3F6AC3}"/>
            </a:ext>
          </a:extLst>
        </xdr:cNvPr>
        <xdr:cNvSpPr/>
      </xdr:nvSpPr>
      <xdr:spPr>
        <a:xfrm>
          <a:off x="11239500" y="781050"/>
          <a:ext cx="1905000" cy="3556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114300</xdr:rowOff>
    </xdr:from>
    <xdr:to>
      <xdr:col>40</xdr:col>
      <xdr:colOff>76200</xdr:colOff>
      <xdr:row>7</xdr:row>
      <xdr:rowOff>127000</xdr:rowOff>
    </xdr:to>
    <xdr:sp macro="ClearSectionResults" textlink="">
      <xdr:nvSpPr>
        <xdr:cNvPr id="3" name="btnClearSectionResults">
          <a:extLst>
            <a:ext uri="{FF2B5EF4-FFF2-40B4-BE49-F238E27FC236}">
              <a16:creationId xmlns:a16="http://schemas.microsoft.com/office/drawing/2014/main" id="{293C7DE9-B667-4C5A-B3B8-4D8088F273E0}"/>
            </a:ext>
          </a:extLst>
        </xdr:cNvPr>
        <xdr:cNvSpPr/>
      </xdr:nvSpPr>
      <xdr:spPr>
        <a:xfrm>
          <a:off x="11239500" y="1238250"/>
          <a:ext cx="1905000" cy="3556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Очистить результаты</a:t>
          </a:r>
        </a:p>
      </xdr:txBody>
    </xdr:sp>
    <xdr:clientData/>
  </xdr:twoCellAnchor>
  <xdr:twoCellAnchor>
    <xdr:from>
      <xdr:col>37</xdr:col>
      <xdr:colOff>0</xdr:colOff>
      <xdr:row>8</xdr:row>
      <xdr:rowOff>57150</xdr:rowOff>
    </xdr:from>
    <xdr:to>
      <xdr:col>40</xdr:col>
      <xdr:colOff>76200</xdr:colOff>
      <xdr:row>10</xdr:row>
      <xdr:rowOff>69850</xdr:rowOff>
    </xdr:to>
    <xdr:sp macro="ExportSectionStressToAutoCAD" textlink="">
      <xdr:nvSpPr>
        <xdr:cNvPr id="4" name="btnExportStressToAutoCAD">
          <a:extLst>
            <a:ext uri="{FF2B5EF4-FFF2-40B4-BE49-F238E27FC236}">
              <a16:creationId xmlns:a16="http://schemas.microsoft.com/office/drawing/2014/main" id="{678179F0-46AE-4720-B5DF-9EA79A428009}"/>
            </a:ext>
          </a:extLst>
        </xdr:cNvPr>
        <xdr:cNvSpPr/>
      </xdr:nvSpPr>
      <xdr:spPr>
        <a:xfrm>
          <a:off x="11239500" y="1695450"/>
          <a:ext cx="1905000" cy="3556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Экспорт в </a:t>
          </a:r>
          <a:r>
            <a:rPr lang="en-US" sz="1100" b="1">
              <a:solidFill>
                <a:srgbClr val="FFFFFF"/>
              </a:solidFill>
            </a:rPr>
            <a:t>AutoCAD</a:t>
          </a:r>
          <a:endParaRPr lang="ru-RU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0</xdr:rowOff>
    </xdr:from>
    <xdr:to>
      <xdr:col>40</xdr:col>
      <xdr:colOff>76200</xdr:colOff>
      <xdr:row>13</xdr:row>
      <xdr:rowOff>12700</xdr:rowOff>
    </xdr:to>
    <xdr:sp macro="UpdateSectionPlot" textlink="">
      <xdr:nvSpPr>
        <xdr:cNvPr id="5" name="btnUpdateSectionPlot">
          <a:extLst>
            <a:ext uri="{FF2B5EF4-FFF2-40B4-BE49-F238E27FC236}">
              <a16:creationId xmlns:a16="http://schemas.microsoft.com/office/drawing/2014/main" id="{26F41E6F-5980-4E34-9D51-58B6A7FBAE49}"/>
            </a:ext>
          </a:extLst>
        </xdr:cNvPr>
        <xdr:cNvSpPr/>
      </xdr:nvSpPr>
      <xdr:spPr>
        <a:xfrm>
          <a:off x="11239500" y="2152650"/>
          <a:ext cx="1905000" cy="3556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  <xdr:twoCellAnchor>
    <xdr:from>
      <xdr:col>41</xdr:col>
      <xdr:colOff>0</xdr:colOff>
      <xdr:row>0</xdr:row>
      <xdr:rowOff>0</xdr:rowOff>
    </xdr:from>
    <xdr:to>
      <xdr:col>58</xdr:col>
      <xdr:colOff>50800</xdr:colOff>
      <xdr:row>38</xdr:row>
      <xdr:rowOff>76200</xdr:rowOff>
    </xdr:to>
    <xdr:graphicFrame macro="">
      <xdr:nvGraphicFramePr>
        <xdr:cNvPr id="6" name="chtNDMSectionPlot">
          <a:extLst>
            <a:ext uri="{FF2B5EF4-FFF2-40B4-BE49-F238E27FC236}">
              <a16:creationId xmlns:a16="http://schemas.microsoft.com/office/drawing/2014/main" id="{02E8193F-8838-4690-93DF-F3ED7CC42E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0.25677</cdr:x>
      <cdr:y>0.82432</cdr:y>
    </cdr:from>
    <cdr:to>
      <cdr:x>0.57621</cdr:x>
      <cdr:y>0.82432</cdr:y>
    </cdr:to>
    <cdr:cxnSp macro="">
      <cdr:nvCxnSpPr>
        <cdr:cNvPr id="520" name="NDMPlot_Contour1">
          <a:extLst xmlns:a="http://schemas.openxmlformats.org/drawingml/2006/main">
            <a:ext uri="{FF2B5EF4-FFF2-40B4-BE49-F238E27FC236}">
              <a16:creationId xmlns:a16="http://schemas.microsoft.com/office/drawing/2014/main" id="{67850302-80E0-4E47-BEB6-A21713379DC7}"/>
            </a:ext>
          </a:extLst>
        </cdr:cNvPr>
        <cdr:cNvCxnSpPr/>
      </cdr:nvCxnSpPr>
      <cdr:spPr>
        <a:xfrm xmlns:a="http://schemas.openxmlformats.org/drawingml/2006/main">
          <a:off x="2674014" y="5653206"/>
          <a:ext cx="3326641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0.57621</cdr:x>
      <cdr:y>0.63029</cdr:y>
    </cdr:from>
    <cdr:to>
      <cdr:x>0.57621</cdr:x>
      <cdr:y>0.82432</cdr:y>
    </cdr:to>
    <cdr:cxnSp macro="">
      <cdr:nvCxnSpPr>
        <cdr:cNvPr id="521" name="NDMPlot_Contour2">
          <a:extLst xmlns:a="http://schemas.openxmlformats.org/drawingml/2006/main">
            <a:ext uri="{FF2B5EF4-FFF2-40B4-BE49-F238E27FC236}">
              <a16:creationId xmlns:a16="http://schemas.microsoft.com/office/drawing/2014/main" id="{E0A0CED4-3034-44B0-9664-A3626E34E5A9}"/>
            </a:ext>
          </a:extLst>
        </cdr:cNvPr>
        <cdr:cNvCxnSpPr/>
      </cdr:nvCxnSpPr>
      <cdr:spPr>
        <a:xfrm xmlns:a="http://schemas.openxmlformats.org/drawingml/2006/main" flipV="1">
          <a:off x="6000655" y="4322549"/>
          <a:ext cx="0" cy="133065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0.38455</cdr:x>
      <cdr:y>0.63029</cdr:y>
    </cdr:from>
    <cdr:to>
      <cdr:x>0.57621</cdr:x>
      <cdr:y>0.63029</cdr:y>
    </cdr:to>
    <cdr:cxnSp macro="">
      <cdr:nvCxnSpPr>
        <cdr:cNvPr id="522" name="NDMPlot_Contour3">
          <a:extLst xmlns:a="http://schemas.openxmlformats.org/drawingml/2006/main">
            <a:ext uri="{FF2B5EF4-FFF2-40B4-BE49-F238E27FC236}">
              <a16:creationId xmlns:a16="http://schemas.microsoft.com/office/drawing/2014/main" id="{E43F9001-CC34-437C-82EA-D3692C5C70EE}"/>
            </a:ext>
          </a:extLst>
        </cdr:cNvPr>
        <cdr:cNvCxnSpPr/>
      </cdr:nvCxnSpPr>
      <cdr:spPr>
        <a:xfrm xmlns:a="http://schemas.openxmlformats.org/drawingml/2006/main" flipH="1">
          <a:off x="4004670" y="4322549"/>
          <a:ext cx="1995985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0.38455</cdr:x>
      <cdr:y>0.17756</cdr:y>
    </cdr:from>
    <cdr:to>
      <cdr:x>0.38455</cdr:x>
      <cdr:y>0.63029</cdr:y>
    </cdr:to>
    <cdr:cxnSp macro="">
      <cdr:nvCxnSpPr>
        <cdr:cNvPr id="523" name="NDMPlot_Contour4">
          <a:extLst xmlns:a="http://schemas.openxmlformats.org/drawingml/2006/main">
            <a:ext uri="{FF2B5EF4-FFF2-40B4-BE49-F238E27FC236}">
              <a16:creationId xmlns:a16="http://schemas.microsoft.com/office/drawing/2014/main" id="{ED1F4E4E-AAE0-4EA9-9E7D-1E83197C9851}"/>
            </a:ext>
          </a:extLst>
        </cdr:cNvPr>
        <cdr:cNvCxnSpPr/>
      </cdr:nvCxnSpPr>
      <cdr:spPr>
        <a:xfrm xmlns:a="http://schemas.openxmlformats.org/drawingml/2006/main" flipV="1">
          <a:off x="4004670" y="1217684"/>
          <a:ext cx="0" cy="310486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0.25677</cdr:x>
      <cdr:y>0.17756</cdr:y>
    </cdr:from>
    <cdr:to>
      <cdr:x>0.38455</cdr:x>
      <cdr:y>0.17756</cdr:y>
    </cdr:to>
    <cdr:cxnSp macro="">
      <cdr:nvCxnSpPr>
        <cdr:cNvPr id="524" name="NDMPlot_Contour5">
          <a:extLst xmlns:a="http://schemas.openxmlformats.org/drawingml/2006/main">
            <a:ext uri="{FF2B5EF4-FFF2-40B4-BE49-F238E27FC236}">
              <a16:creationId xmlns:a16="http://schemas.microsoft.com/office/drawing/2014/main" id="{8DF5F84E-9E8A-4144-85EF-5A75DFD504BC}"/>
            </a:ext>
          </a:extLst>
        </cdr:cNvPr>
        <cdr:cNvCxnSpPr/>
      </cdr:nvCxnSpPr>
      <cdr:spPr>
        <a:xfrm xmlns:a="http://schemas.openxmlformats.org/drawingml/2006/main" flipH="1">
          <a:off x="2674014" y="1217684"/>
          <a:ext cx="1330656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0.25677</cdr:x>
      <cdr:y>0.17756</cdr:y>
    </cdr:from>
    <cdr:to>
      <cdr:x>0.25677</cdr:x>
      <cdr:y>0.82432</cdr:y>
    </cdr:to>
    <cdr:cxnSp macro="">
      <cdr:nvCxnSpPr>
        <cdr:cNvPr id="525" name="NDMPlot_Contour6">
          <a:extLst xmlns:a="http://schemas.openxmlformats.org/drawingml/2006/main">
            <a:ext uri="{FF2B5EF4-FFF2-40B4-BE49-F238E27FC236}">
              <a16:creationId xmlns:a16="http://schemas.microsoft.com/office/drawing/2014/main" id="{F2304A6B-F96D-4B54-A78E-935A1A4B0D8D}"/>
            </a:ext>
          </a:extLst>
        </cdr:cNvPr>
        <cdr:cNvCxnSpPr/>
      </cdr:nvCxnSpPr>
      <cdr:spPr>
        <a:xfrm xmlns:a="http://schemas.openxmlformats.org/drawingml/2006/main">
          <a:off x="2674014" y="1217684"/>
          <a:ext cx="0" cy="443552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0.24612</cdr:x>
      <cdr:y>0.33052</cdr:y>
    </cdr:from>
    <cdr:to>
      <cdr:x>0.24612</cdr:x>
      <cdr:y>0.46925</cdr:y>
    </cdr:to>
    <cdr:cxnSp macro="">
      <cdr:nvCxnSpPr>
        <cdr:cNvPr id="526" name="NDMPlot_AnnotationLine7">
          <a:extLst xmlns:a="http://schemas.openxmlformats.org/drawingml/2006/main">
            <a:ext uri="{FF2B5EF4-FFF2-40B4-BE49-F238E27FC236}">
              <a16:creationId xmlns:a16="http://schemas.microsoft.com/office/drawing/2014/main" id="{F14E8212-F37D-407B-AF18-C109BDA705D6}"/>
            </a:ext>
          </a:extLst>
        </cdr:cNvPr>
        <cdr:cNvCxnSpPr/>
      </cdr:nvCxnSpPr>
      <cdr:spPr>
        <a:xfrm xmlns:a="http://schemas.openxmlformats.org/drawingml/2006/main" flipV="1">
          <a:off x="2563125" y="2266685"/>
          <a:ext cx="0" cy="951419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0.2245</cdr:x>
      <cdr:y>0.26099</cdr:y>
    </cdr:from>
    <cdr:to>
      <cdr:x>0.24645</cdr:x>
      <cdr:y>0.53877</cdr:y>
    </cdr:to>
    <cdr:sp macro="" textlink="">
      <cdr:nvSpPr>
        <cdr:cNvPr id="527" name="NDMPlot_Text8">
          <a:extLst xmlns:a="http://schemas.openxmlformats.org/drawingml/2006/main">
            <a:ext uri="{FF2B5EF4-FFF2-40B4-BE49-F238E27FC236}">
              <a16:creationId xmlns:a16="http://schemas.microsoft.com/office/drawing/2014/main" id="{C66E7555-2E10-4FFA-A253-80308DC862DB}"/>
            </a:ext>
          </a:extLst>
        </cdr:cNvPr>
        <cdr:cNvSpPr txBox="1"/>
      </cdr:nvSpPr>
      <cdr:spPr>
        <a:xfrm xmlns:a="http://schemas.openxmlformats.org/drawingml/2006/main" rot="5400000">
          <a:off x="1499737" y="2628094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873" b="1">
              <a:solidFill>
                <a:srgbClr val="141E5A"/>
              </a:solidFill>
            </a:rPr>
            <a:t>5Ø32</a:t>
          </a:r>
          <a:endParaRPr lang="ru-RU" sz="873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0.40052</cdr:x>
      <cdr:y>0.33052</cdr:y>
    </cdr:from>
    <cdr:to>
      <cdr:x>0.40052</cdr:x>
      <cdr:y>0.46925</cdr:y>
    </cdr:to>
    <cdr:cxnSp macro="">
      <cdr:nvCxnSpPr>
        <cdr:cNvPr id="528" name="NDMPlot_AnnotationLine9">
          <a:extLst xmlns:a="http://schemas.openxmlformats.org/drawingml/2006/main">
            <a:ext uri="{FF2B5EF4-FFF2-40B4-BE49-F238E27FC236}">
              <a16:creationId xmlns:a16="http://schemas.microsoft.com/office/drawing/2014/main" id="{7D853387-8131-491C-B561-AB9AFAB94622}"/>
            </a:ext>
          </a:extLst>
        </cdr:cNvPr>
        <cdr:cNvCxnSpPr/>
      </cdr:nvCxnSpPr>
      <cdr:spPr>
        <a:xfrm xmlns:a="http://schemas.openxmlformats.org/drawingml/2006/main">
          <a:off x="4171002" y="2266685"/>
          <a:ext cx="0" cy="951419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0.40019</cdr:x>
      <cdr:y>0.26099</cdr:y>
    </cdr:from>
    <cdr:to>
      <cdr:x>0.42214</cdr:x>
      <cdr:y>0.53877</cdr:y>
    </cdr:to>
    <cdr:sp macro="" textlink="">
      <cdr:nvSpPr>
        <cdr:cNvPr id="529" name="NDMPlot_Text10">
          <a:extLst xmlns:a="http://schemas.openxmlformats.org/drawingml/2006/main">
            <a:ext uri="{FF2B5EF4-FFF2-40B4-BE49-F238E27FC236}">
              <a16:creationId xmlns:a16="http://schemas.microsoft.com/office/drawing/2014/main" id="{B17E7E96-89C9-4D3C-AAFD-CB9570C43C2C}"/>
            </a:ext>
          </a:extLst>
        </cdr:cNvPr>
        <cdr:cNvSpPr txBox="1"/>
      </cdr:nvSpPr>
      <cdr:spPr>
        <a:xfrm xmlns:a="http://schemas.openxmlformats.org/drawingml/2006/main" rot="5400000">
          <a:off x="3329390" y="2628094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873" b="1">
              <a:solidFill>
                <a:srgbClr val="141E5A"/>
              </a:solidFill>
            </a:rPr>
            <a:t>5Ø32</a:t>
          </a:r>
          <a:endParaRPr lang="ru-RU" sz="873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0.29161</cdr:x>
      <cdr:y>0.16139</cdr:y>
    </cdr:from>
    <cdr:to>
      <cdr:x>0.35503</cdr:x>
      <cdr:y>0.16139</cdr:y>
    </cdr:to>
    <cdr:cxnSp macro="">
      <cdr:nvCxnSpPr>
        <cdr:cNvPr id="530" name="NDMPlot_AnnotationLine11">
          <a:extLst xmlns:a="http://schemas.openxmlformats.org/drawingml/2006/main">
            <a:ext uri="{FF2B5EF4-FFF2-40B4-BE49-F238E27FC236}">
              <a16:creationId xmlns:a16="http://schemas.microsoft.com/office/drawing/2014/main" id="{62F7FA80-5565-4817-BB97-32A8F394C1CA}"/>
            </a:ext>
          </a:extLst>
        </cdr:cNvPr>
        <cdr:cNvCxnSpPr/>
      </cdr:nvCxnSpPr>
      <cdr:spPr>
        <a:xfrm xmlns:a="http://schemas.openxmlformats.org/drawingml/2006/main">
          <a:off x="3036864" y="1106796"/>
          <a:ext cx="660400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0.23186</cdr:x>
      <cdr:y>0.12855</cdr:y>
    </cdr:from>
    <cdr:to>
      <cdr:x>0.41478</cdr:x>
      <cdr:y>0.16188</cdr:y>
    </cdr:to>
    <cdr:sp macro="" textlink="">
      <cdr:nvSpPr>
        <cdr:cNvPr id="531" name="NDMPlot_Text12">
          <a:extLst xmlns:a="http://schemas.openxmlformats.org/drawingml/2006/main">
            <a:ext uri="{FF2B5EF4-FFF2-40B4-BE49-F238E27FC236}">
              <a16:creationId xmlns:a16="http://schemas.microsoft.com/office/drawing/2014/main" id="{4B49DAED-458E-4E8F-A7E0-293FAABA587D}"/>
            </a:ext>
          </a:extLst>
        </cdr:cNvPr>
        <cdr:cNvSpPr txBox="1"/>
      </cdr:nvSpPr>
      <cdr:spPr>
        <a:xfrm xmlns:a="http://schemas.openxmlformats.org/drawingml/2006/main">
          <a:off x="2414564" y="881607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873" b="1">
              <a:solidFill>
                <a:srgbClr val="141E5A"/>
              </a:solidFill>
            </a:rPr>
            <a:t>2Ø32</a:t>
          </a:r>
          <a:endParaRPr lang="ru-RU" sz="873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0.29161</cdr:x>
      <cdr:y>0.63838</cdr:y>
    </cdr:from>
    <cdr:to>
      <cdr:x>0.35503</cdr:x>
      <cdr:y>0.63838</cdr:y>
    </cdr:to>
    <cdr:cxnSp macro="">
      <cdr:nvCxnSpPr>
        <cdr:cNvPr id="532" name="NDMPlot_AnnotationLine13">
          <a:extLst xmlns:a="http://schemas.openxmlformats.org/drawingml/2006/main">
            <a:ext uri="{FF2B5EF4-FFF2-40B4-BE49-F238E27FC236}">
              <a16:creationId xmlns:a16="http://schemas.microsoft.com/office/drawing/2014/main" id="{DE810FAF-7573-4ABD-8659-B4F28D5D11AB}"/>
            </a:ext>
          </a:extLst>
        </cdr:cNvPr>
        <cdr:cNvCxnSpPr/>
      </cdr:nvCxnSpPr>
      <cdr:spPr>
        <a:xfrm xmlns:a="http://schemas.openxmlformats.org/drawingml/2006/main" flipH="1">
          <a:off x="3036864" y="4377993"/>
          <a:ext cx="660400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0.23186</cdr:x>
      <cdr:y>0.63788</cdr:y>
    </cdr:from>
    <cdr:to>
      <cdr:x>0.41478</cdr:x>
      <cdr:y>0.67121</cdr:y>
    </cdr:to>
    <cdr:sp macro="" textlink="">
      <cdr:nvSpPr>
        <cdr:cNvPr id="533" name="NDMPlot_Text14">
          <a:extLst xmlns:a="http://schemas.openxmlformats.org/drawingml/2006/main">
            <a:ext uri="{FF2B5EF4-FFF2-40B4-BE49-F238E27FC236}">
              <a16:creationId xmlns:a16="http://schemas.microsoft.com/office/drawing/2014/main" id="{6286E4F2-2CD2-48F4-8535-1F3C112A1ED7}"/>
            </a:ext>
          </a:extLst>
        </cdr:cNvPr>
        <cdr:cNvSpPr txBox="1"/>
      </cdr:nvSpPr>
      <cdr:spPr>
        <a:xfrm xmlns:a="http://schemas.openxmlformats.org/drawingml/2006/main">
          <a:off x="2414564" y="4374581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873" b="1">
              <a:solidFill>
                <a:srgbClr val="141E5A"/>
              </a:solidFill>
            </a:rPr>
            <a:t>2Ø32</a:t>
          </a:r>
          <a:endParaRPr lang="ru-RU" sz="873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0.24612</cdr:x>
      <cdr:y>0.67512</cdr:y>
    </cdr:from>
    <cdr:to>
      <cdr:x>0.24612</cdr:x>
      <cdr:y>0.77141</cdr:y>
    </cdr:to>
    <cdr:cxnSp macro="">
      <cdr:nvCxnSpPr>
        <cdr:cNvPr id="534" name="NDMPlot_AnnotationLine15">
          <a:extLst xmlns:a="http://schemas.openxmlformats.org/drawingml/2006/main">
            <a:ext uri="{FF2B5EF4-FFF2-40B4-BE49-F238E27FC236}">
              <a16:creationId xmlns:a16="http://schemas.microsoft.com/office/drawing/2014/main" id="{E6D78FEF-F9FB-4298-AE22-7C59946B4F42}"/>
            </a:ext>
          </a:extLst>
        </cdr:cNvPr>
        <cdr:cNvCxnSpPr/>
      </cdr:nvCxnSpPr>
      <cdr:spPr>
        <a:xfrm xmlns:a="http://schemas.openxmlformats.org/drawingml/2006/main" flipV="1">
          <a:off x="2563125" y="4629956"/>
          <a:ext cx="0" cy="66040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0.2245</cdr:x>
      <cdr:y>0.58438</cdr:y>
    </cdr:from>
    <cdr:to>
      <cdr:x>0.24645</cdr:x>
      <cdr:y>0.86215</cdr:y>
    </cdr:to>
    <cdr:sp macro="" textlink="">
      <cdr:nvSpPr>
        <cdr:cNvPr id="535" name="NDMPlot_Text16">
          <a:extLst xmlns:a="http://schemas.openxmlformats.org/drawingml/2006/main">
            <a:ext uri="{FF2B5EF4-FFF2-40B4-BE49-F238E27FC236}">
              <a16:creationId xmlns:a16="http://schemas.microsoft.com/office/drawing/2014/main" id="{D3303D56-745A-4B72-A143-5BD07F63E074}"/>
            </a:ext>
          </a:extLst>
        </cdr:cNvPr>
        <cdr:cNvSpPr txBox="1"/>
      </cdr:nvSpPr>
      <cdr:spPr>
        <a:xfrm xmlns:a="http://schemas.openxmlformats.org/drawingml/2006/main" rot="5400000">
          <a:off x="1499737" y="4845856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873" b="1">
              <a:solidFill>
                <a:srgbClr val="141E5A"/>
              </a:solidFill>
            </a:rPr>
            <a:t>2Ø32</a:t>
          </a:r>
          <a:endParaRPr lang="ru-RU" sz="873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0.58686</cdr:x>
      <cdr:y>0.67512</cdr:y>
    </cdr:from>
    <cdr:to>
      <cdr:x>0.58686</cdr:x>
      <cdr:y>0.77141</cdr:y>
    </cdr:to>
    <cdr:cxnSp macro="">
      <cdr:nvCxnSpPr>
        <cdr:cNvPr id="536" name="NDMPlot_AnnotationLine17">
          <a:extLst xmlns:a="http://schemas.openxmlformats.org/drawingml/2006/main">
            <a:ext uri="{FF2B5EF4-FFF2-40B4-BE49-F238E27FC236}">
              <a16:creationId xmlns:a16="http://schemas.microsoft.com/office/drawing/2014/main" id="{7DE9805B-4409-4DD8-8D6A-165E0CF219C4}"/>
            </a:ext>
          </a:extLst>
        </cdr:cNvPr>
        <cdr:cNvCxnSpPr/>
      </cdr:nvCxnSpPr>
      <cdr:spPr>
        <a:xfrm xmlns:a="http://schemas.openxmlformats.org/drawingml/2006/main">
          <a:off x="6111543" y="4629956"/>
          <a:ext cx="0" cy="66040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0.58653</cdr:x>
      <cdr:y>0.58438</cdr:y>
    </cdr:from>
    <cdr:to>
      <cdr:x>0.60848</cdr:x>
      <cdr:y>0.86215</cdr:y>
    </cdr:to>
    <cdr:sp macro="" textlink="">
      <cdr:nvSpPr>
        <cdr:cNvPr id="537" name="NDMPlot_Text18">
          <a:extLst xmlns:a="http://schemas.openxmlformats.org/drawingml/2006/main">
            <a:ext uri="{FF2B5EF4-FFF2-40B4-BE49-F238E27FC236}">
              <a16:creationId xmlns:a16="http://schemas.microsoft.com/office/drawing/2014/main" id="{CA0D54E3-3EFA-4001-BA9C-59172FD2CDFB}"/>
            </a:ext>
          </a:extLst>
        </cdr:cNvPr>
        <cdr:cNvSpPr txBox="1"/>
      </cdr:nvSpPr>
      <cdr:spPr>
        <a:xfrm xmlns:a="http://schemas.openxmlformats.org/drawingml/2006/main" rot="5400000">
          <a:off x="5269931" y="4845856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873" b="1">
              <a:solidFill>
                <a:srgbClr val="141E5A"/>
              </a:solidFill>
            </a:rPr>
            <a:t>2Ø32</a:t>
          </a:r>
          <a:endParaRPr lang="ru-RU" sz="873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0.36495</cdr:x>
      <cdr:y>0.60604</cdr:y>
    </cdr:from>
    <cdr:to>
      <cdr:x>0.46803</cdr:x>
      <cdr:y>0.60604</cdr:y>
    </cdr:to>
    <cdr:cxnSp macro="">
      <cdr:nvCxnSpPr>
        <cdr:cNvPr id="538" name="NDMPlot_AnnotationLine19">
          <a:extLst xmlns:a="http://schemas.openxmlformats.org/drawingml/2006/main">
            <a:ext uri="{FF2B5EF4-FFF2-40B4-BE49-F238E27FC236}">
              <a16:creationId xmlns:a16="http://schemas.microsoft.com/office/drawing/2014/main" id="{901CDEFD-8C6B-4DFA-97DB-EAAE48627F5F}"/>
            </a:ext>
          </a:extLst>
        </cdr:cNvPr>
        <cdr:cNvCxnSpPr/>
      </cdr:nvCxnSpPr>
      <cdr:spPr>
        <a:xfrm xmlns:a="http://schemas.openxmlformats.org/drawingml/2006/main">
          <a:off x="3800636" y="4156217"/>
          <a:ext cx="1073397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0.32503</cdr:x>
      <cdr:y>0.5732</cdr:y>
    </cdr:from>
    <cdr:to>
      <cdr:x>0.50795</cdr:x>
      <cdr:y>0.60654</cdr:y>
    </cdr:to>
    <cdr:sp macro="" textlink="">
      <cdr:nvSpPr>
        <cdr:cNvPr id="539" name="NDMPlot_Text20">
          <a:extLst xmlns:a="http://schemas.openxmlformats.org/drawingml/2006/main">
            <a:ext uri="{FF2B5EF4-FFF2-40B4-BE49-F238E27FC236}">
              <a16:creationId xmlns:a16="http://schemas.microsoft.com/office/drawing/2014/main" id="{1F08EADC-68C4-4615-BA53-82F27C970D28}"/>
            </a:ext>
          </a:extLst>
        </cdr:cNvPr>
        <cdr:cNvSpPr txBox="1"/>
      </cdr:nvSpPr>
      <cdr:spPr>
        <a:xfrm xmlns:a="http://schemas.openxmlformats.org/drawingml/2006/main">
          <a:off x="3384834" y="3931029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873" b="1">
              <a:solidFill>
                <a:srgbClr val="141E5A"/>
              </a:solidFill>
            </a:rPr>
            <a:t>5Ø32</a:t>
          </a:r>
          <a:endParaRPr lang="ru-RU" sz="873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0.36495</cdr:x>
      <cdr:y>0.84049</cdr:y>
    </cdr:from>
    <cdr:to>
      <cdr:x>0.46803</cdr:x>
      <cdr:y>0.84049</cdr:y>
    </cdr:to>
    <cdr:cxnSp macro="">
      <cdr:nvCxnSpPr>
        <cdr:cNvPr id="540" name="NDMPlot_AnnotationLine21">
          <a:extLst xmlns:a="http://schemas.openxmlformats.org/drawingml/2006/main">
            <a:ext uri="{FF2B5EF4-FFF2-40B4-BE49-F238E27FC236}">
              <a16:creationId xmlns:a16="http://schemas.microsoft.com/office/drawing/2014/main" id="{FDC0AB8A-DB45-4874-AA6A-463689D7B7C7}"/>
            </a:ext>
          </a:extLst>
        </cdr:cNvPr>
        <cdr:cNvCxnSpPr/>
      </cdr:nvCxnSpPr>
      <cdr:spPr>
        <a:xfrm xmlns:a="http://schemas.openxmlformats.org/drawingml/2006/main" flipH="1">
          <a:off x="3800636" y="5764094"/>
          <a:ext cx="1073397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0.32503</cdr:x>
      <cdr:y>0.83999</cdr:y>
    </cdr:from>
    <cdr:to>
      <cdr:x>0.50795</cdr:x>
      <cdr:y>0.87333</cdr:y>
    </cdr:to>
    <cdr:sp macro="" textlink="">
      <cdr:nvSpPr>
        <cdr:cNvPr id="541" name="NDMPlot_Text22">
          <a:extLst xmlns:a="http://schemas.openxmlformats.org/drawingml/2006/main">
            <a:ext uri="{FF2B5EF4-FFF2-40B4-BE49-F238E27FC236}">
              <a16:creationId xmlns:a16="http://schemas.microsoft.com/office/drawing/2014/main" id="{5FE81B90-9CC9-4EC2-ADAD-298D8638D36B}"/>
            </a:ext>
          </a:extLst>
        </cdr:cNvPr>
        <cdr:cNvSpPr txBox="1"/>
      </cdr:nvSpPr>
      <cdr:spPr>
        <a:xfrm xmlns:a="http://schemas.openxmlformats.org/drawingml/2006/main">
          <a:off x="3384834" y="5760682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873" b="1">
              <a:solidFill>
                <a:srgbClr val="141E5A"/>
              </a:solidFill>
            </a:rPr>
            <a:t>5Ø32</a:t>
          </a:r>
          <a:endParaRPr lang="ru-RU" sz="873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0.25677</cdr:x>
      <cdr:y>0.82432</cdr:y>
    </cdr:from>
    <cdr:to>
      <cdr:x>0.25677</cdr:x>
      <cdr:y>0.90517</cdr:y>
    </cdr:to>
    <cdr:cxnSp macro="">
      <cdr:nvCxnSpPr>
        <cdr:cNvPr id="542" name="NDMPlot_AnnotationLine23">
          <a:extLst xmlns:a="http://schemas.openxmlformats.org/drawingml/2006/main">
            <a:ext uri="{FF2B5EF4-FFF2-40B4-BE49-F238E27FC236}">
              <a16:creationId xmlns:a16="http://schemas.microsoft.com/office/drawing/2014/main" id="{65A6DCD4-0E46-4870-A179-5067F898D46D}"/>
            </a:ext>
          </a:extLst>
        </cdr:cNvPr>
        <cdr:cNvCxnSpPr/>
      </cdr:nvCxnSpPr>
      <cdr:spPr>
        <a:xfrm xmlns:a="http://schemas.openxmlformats.org/drawingml/2006/main">
          <a:off x="2674014" y="5653206"/>
          <a:ext cx="0" cy="55444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0.57621</cdr:x>
      <cdr:y>0.82432</cdr:y>
    </cdr:from>
    <cdr:to>
      <cdr:x>0.57621</cdr:x>
      <cdr:y>0.90517</cdr:y>
    </cdr:to>
    <cdr:cxnSp macro="">
      <cdr:nvCxnSpPr>
        <cdr:cNvPr id="543" name="NDMPlot_AnnotationLine24">
          <a:extLst xmlns:a="http://schemas.openxmlformats.org/drawingml/2006/main">
            <a:ext uri="{FF2B5EF4-FFF2-40B4-BE49-F238E27FC236}">
              <a16:creationId xmlns:a16="http://schemas.microsoft.com/office/drawing/2014/main" id="{E6405F22-93F9-4038-9598-95BFBE33B61F}"/>
            </a:ext>
          </a:extLst>
        </cdr:cNvPr>
        <cdr:cNvCxnSpPr/>
      </cdr:nvCxnSpPr>
      <cdr:spPr>
        <a:xfrm xmlns:a="http://schemas.openxmlformats.org/drawingml/2006/main">
          <a:off x="6000655" y="5653206"/>
          <a:ext cx="0" cy="55444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0.25677</cdr:x>
      <cdr:y>0.90517</cdr:y>
    </cdr:from>
    <cdr:to>
      <cdr:x>0.57621</cdr:x>
      <cdr:y>0.90517</cdr:y>
    </cdr:to>
    <cdr:cxnSp macro="">
      <cdr:nvCxnSpPr>
        <cdr:cNvPr id="544" name="NDMPlot_AnnotationLine25">
          <a:extLst xmlns:a="http://schemas.openxmlformats.org/drawingml/2006/main">
            <a:ext uri="{FF2B5EF4-FFF2-40B4-BE49-F238E27FC236}">
              <a16:creationId xmlns:a16="http://schemas.microsoft.com/office/drawing/2014/main" id="{7D7B378C-87E9-431B-893C-3E9F54B287FC}"/>
            </a:ext>
          </a:extLst>
        </cdr:cNvPr>
        <cdr:cNvCxnSpPr/>
      </cdr:nvCxnSpPr>
      <cdr:spPr>
        <a:xfrm xmlns:a="http://schemas.openxmlformats.org/drawingml/2006/main">
          <a:off x="2674014" y="6207646"/>
          <a:ext cx="3326641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lg" len="lg"/>
          <a:tailEnd type="triangle" w="lg" len="lg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0.32503</cdr:x>
      <cdr:y>0.90467</cdr:y>
    </cdr:from>
    <cdr:to>
      <cdr:x>0.50795</cdr:x>
      <cdr:y>0.938</cdr:y>
    </cdr:to>
    <cdr:sp macro="" textlink="">
      <cdr:nvSpPr>
        <cdr:cNvPr id="545" name="NDMPlot_Text26">
          <a:extLst xmlns:a="http://schemas.openxmlformats.org/drawingml/2006/main">
            <a:ext uri="{FF2B5EF4-FFF2-40B4-BE49-F238E27FC236}">
              <a16:creationId xmlns:a16="http://schemas.microsoft.com/office/drawing/2014/main" id="{57699FC9-0459-4B27-A503-0F2D7355D308}"/>
            </a:ext>
          </a:extLst>
        </cdr:cNvPr>
        <cdr:cNvSpPr txBox="1"/>
      </cdr:nvSpPr>
      <cdr:spPr>
        <a:xfrm xmlns:a="http://schemas.openxmlformats.org/drawingml/2006/main">
          <a:off x="3384834" y="6204234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873" b="1">
              <a:solidFill>
                <a:srgbClr val="141E5A"/>
              </a:solidFill>
            </a:rPr>
            <a:t>B=600 mm</a:t>
          </a:r>
          <a:endParaRPr lang="ru-RU" sz="873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0.20353</cdr:x>
      <cdr:y>0.82432</cdr:y>
    </cdr:from>
    <cdr:to>
      <cdr:x>0.25677</cdr:x>
      <cdr:y>0.82432</cdr:y>
    </cdr:to>
    <cdr:cxnSp macro="">
      <cdr:nvCxnSpPr>
        <cdr:cNvPr id="546" name="NDMPlot_AnnotationLine27">
          <a:extLst xmlns:a="http://schemas.openxmlformats.org/drawingml/2006/main">
            <a:ext uri="{FF2B5EF4-FFF2-40B4-BE49-F238E27FC236}">
              <a16:creationId xmlns:a16="http://schemas.microsoft.com/office/drawing/2014/main" id="{04AC3DBD-A6EF-4EC3-B22B-8CB67BB2B506}"/>
            </a:ext>
          </a:extLst>
        </cdr:cNvPr>
        <cdr:cNvCxnSpPr/>
      </cdr:nvCxnSpPr>
      <cdr:spPr>
        <a:xfrm xmlns:a="http://schemas.openxmlformats.org/drawingml/2006/main" flipH="1">
          <a:off x="2119573" y="5653206"/>
          <a:ext cx="554441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0.20353</cdr:x>
      <cdr:y>0.17756</cdr:y>
    </cdr:from>
    <cdr:to>
      <cdr:x>0.25677</cdr:x>
      <cdr:y>0.17756</cdr:y>
    </cdr:to>
    <cdr:cxnSp macro="">
      <cdr:nvCxnSpPr>
        <cdr:cNvPr id="547" name="NDMPlot_AnnotationLine28">
          <a:extLst xmlns:a="http://schemas.openxmlformats.org/drawingml/2006/main">
            <a:ext uri="{FF2B5EF4-FFF2-40B4-BE49-F238E27FC236}">
              <a16:creationId xmlns:a16="http://schemas.microsoft.com/office/drawing/2014/main" id="{1B5439F2-F311-4EB9-AD9F-BA83EECACCB2}"/>
            </a:ext>
          </a:extLst>
        </cdr:cNvPr>
        <cdr:cNvCxnSpPr/>
      </cdr:nvCxnSpPr>
      <cdr:spPr>
        <a:xfrm xmlns:a="http://schemas.openxmlformats.org/drawingml/2006/main" flipH="1">
          <a:off x="2119573" y="1217684"/>
          <a:ext cx="554441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0.20353</cdr:x>
      <cdr:y>0.17756</cdr:y>
    </cdr:from>
    <cdr:to>
      <cdr:x>0.20353</cdr:x>
      <cdr:y>0.82432</cdr:y>
    </cdr:to>
    <cdr:cxnSp macro="">
      <cdr:nvCxnSpPr>
        <cdr:cNvPr id="548" name="NDMPlot_AnnotationLine29">
          <a:extLst xmlns:a="http://schemas.openxmlformats.org/drawingml/2006/main">
            <a:ext uri="{FF2B5EF4-FFF2-40B4-BE49-F238E27FC236}">
              <a16:creationId xmlns:a16="http://schemas.microsoft.com/office/drawing/2014/main" id="{5A9040AB-DECC-4506-BD17-B141AC9C34D3}"/>
            </a:ext>
          </a:extLst>
        </cdr:cNvPr>
        <cdr:cNvCxnSpPr/>
      </cdr:nvCxnSpPr>
      <cdr:spPr>
        <a:xfrm xmlns:a="http://schemas.openxmlformats.org/drawingml/2006/main" flipV="1">
          <a:off x="2119573" y="1217684"/>
          <a:ext cx="0" cy="4435522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lg" len="lg"/>
          <a:tailEnd type="triangle" w="lg" len="lg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0.18191</cdr:x>
      <cdr:y>0.36205</cdr:y>
    </cdr:from>
    <cdr:to>
      <cdr:x>0.20386</cdr:x>
      <cdr:y>0.63983</cdr:y>
    </cdr:to>
    <cdr:sp macro="" textlink="">
      <cdr:nvSpPr>
        <cdr:cNvPr id="549" name="NDMPlot_Text30">
          <a:extLst xmlns:a="http://schemas.openxmlformats.org/drawingml/2006/main">
            <a:ext uri="{FF2B5EF4-FFF2-40B4-BE49-F238E27FC236}">
              <a16:creationId xmlns:a16="http://schemas.microsoft.com/office/drawing/2014/main" id="{7D88D3CC-1A76-4312-93AD-C4F84479F4AC}"/>
            </a:ext>
          </a:extLst>
        </cdr:cNvPr>
        <cdr:cNvSpPr txBox="1"/>
      </cdr:nvSpPr>
      <cdr:spPr>
        <a:xfrm xmlns:a="http://schemas.openxmlformats.org/drawingml/2006/main" rot="5400000">
          <a:off x="1056185" y="3321145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873" b="1">
              <a:solidFill>
                <a:srgbClr val="141E5A"/>
              </a:solidFill>
            </a:rPr>
            <a:t>H=800 mm</a:t>
          </a:r>
          <a:endParaRPr lang="ru-RU" sz="873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0.25677</cdr:x>
      <cdr:y>0.09671</cdr:y>
    </cdr:from>
    <cdr:to>
      <cdr:x>0.25677</cdr:x>
      <cdr:y>0.17756</cdr:y>
    </cdr:to>
    <cdr:cxnSp macro="">
      <cdr:nvCxnSpPr>
        <cdr:cNvPr id="550" name="NDMPlot_AnnotationLine31">
          <a:extLst xmlns:a="http://schemas.openxmlformats.org/drawingml/2006/main">
            <a:ext uri="{FF2B5EF4-FFF2-40B4-BE49-F238E27FC236}">
              <a16:creationId xmlns:a16="http://schemas.microsoft.com/office/drawing/2014/main" id="{3483BDDC-9DCD-4484-8581-48BCD80D9B04}"/>
            </a:ext>
          </a:extLst>
        </cdr:cNvPr>
        <cdr:cNvCxnSpPr/>
      </cdr:nvCxnSpPr>
      <cdr:spPr>
        <a:xfrm xmlns:a="http://schemas.openxmlformats.org/drawingml/2006/main" flipV="1">
          <a:off x="2674014" y="663243"/>
          <a:ext cx="0" cy="554441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0.38455</cdr:x>
      <cdr:y>0.09671</cdr:y>
    </cdr:from>
    <cdr:to>
      <cdr:x>0.38455</cdr:x>
      <cdr:y>0.17756</cdr:y>
    </cdr:to>
    <cdr:cxnSp macro="">
      <cdr:nvCxnSpPr>
        <cdr:cNvPr id="551" name="NDMPlot_AnnotationLine32">
          <a:extLst xmlns:a="http://schemas.openxmlformats.org/drawingml/2006/main">
            <a:ext uri="{FF2B5EF4-FFF2-40B4-BE49-F238E27FC236}">
              <a16:creationId xmlns:a16="http://schemas.microsoft.com/office/drawing/2014/main" id="{E36DE503-C39C-4D40-BD39-FAF79075CD4E}"/>
            </a:ext>
          </a:extLst>
        </cdr:cNvPr>
        <cdr:cNvCxnSpPr/>
      </cdr:nvCxnSpPr>
      <cdr:spPr>
        <a:xfrm xmlns:a="http://schemas.openxmlformats.org/drawingml/2006/main" flipV="1">
          <a:off x="4004670" y="663243"/>
          <a:ext cx="0" cy="554441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0.25677</cdr:x>
      <cdr:y>0.09671</cdr:y>
    </cdr:from>
    <cdr:to>
      <cdr:x>0.38455</cdr:x>
      <cdr:y>0.09671</cdr:y>
    </cdr:to>
    <cdr:cxnSp macro="">
      <cdr:nvCxnSpPr>
        <cdr:cNvPr id="552" name="NDMPlot_AnnotationLine33">
          <a:extLst xmlns:a="http://schemas.openxmlformats.org/drawingml/2006/main">
            <a:ext uri="{FF2B5EF4-FFF2-40B4-BE49-F238E27FC236}">
              <a16:creationId xmlns:a16="http://schemas.microsoft.com/office/drawing/2014/main" id="{84A034B5-E22A-42B2-8D16-60B7AC99B8D0}"/>
            </a:ext>
          </a:extLst>
        </cdr:cNvPr>
        <cdr:cNvCxnSpPr/>
      </cdr:nvCxnSpPr>
      <cdr:spPr>
        <a:xfrm xmlns:a="http://schemas.openxmlformats.org/drawingml/2006/main">
          <a:off x="2674014" y="663243"/>
          <a:ext cx="1330656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lg" len="lg"/>
          <a:tailEnd type="triangle" w="lg" len="lg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0.2292</cdr:x>
      <cdr:y>0.06388</cdr:y>
    </cdr:from>
    <cdr:to>
      <cdr:x>0.41212</cdr:x>
      <cdr:y>0.09721</cdr:y>
    </cdr:to>
    <cdr:sp macro="" textlink="">
      <cdr:nvSpPr>
        <cdr:cNvPr id="553" name="NDMPlot_Text34">
          <a:extLst xmlns:a="http://schemas.openxmlformats.org/drawingml/2006/main">
            <a:ext uri="{FF2B5EF4-FFF2-40B4-BE49-F238E27FC236}">
              <a16:creationId xmlns:a16="http://schemas.microsoft.com/office/drawing/2014/main" id="{53A06EF8-A716-4AFC-BF29-6746D5889D87}"/>
            </a:ext>
          </a:extLst>
        </cdr:cNvPr>
        <cdr:cNvSpPr txBox="1"/>
      </cdr:nvSpPr>
      <cdr:spPr>
        <a:xfrm xmlns:a="http://schemas.openxmlformats.org/drawingml/2006/main">
          <a:off x="2386842" y="438055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873" b="1">
              <a:solidFill>
                <a:srgbClr val="141E5A"/>
              </a:solidFill>
            </a:rPr>
            <a:t>B1=240 mm</a:t>
          </a:r>
          <a:endParaRPr lang="ru-RU" sz="873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0.57621</cdr:x>
      <cdr:y>0.82432</cdr:y>
    </cdr:from>
    <cdr:to>
      <cdr:x>0.62945</cdr:x>
      <cdr:y>0.82432</cdr:y>
    </cdr:to>
    <cdr:cxnSp macro="">
      <cdr:nvCxnSpPr>
        <cdr:cNvPr id="554" name="NDMPlot_AnnotationLine35">
          <a:extLst xmlns:a="http://schemas.openxmlformats.org/drawingml/2006/main">
            <a:ext uri="{FF2B5EF4-FFF2-40B4-BE49-F238E27FC236}">
              <a16:creationId xmlns:a16="http://schemas.microsoft.com/office/drawing/2014/main" id="{44C1EF51-4A2F-4501-A01E-929771A99170}"/>
            </a:ext>
          </a:extLst>
        </cdr:cNvPr>
        <cdr:cNvCxnSpPr/>
      </cdr:nvCxnSpPr>
      <cdr:spPr>
        <a:xfrm xmlns:a="http://schemas.openxmlformats.org/drawingml/2006/main">
          <a:off x="6000655" y="5653206"/>
          <a:ext cx="554440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0.57621</cdr:x>
      <cdr:y>0.63029</cdr:y>
    </cdr:from>
    <cdr:to>
      <cdr:x>0.62945</cdr:x>
      <cdr:y>0.63029</cdr:y>
    </cdr:to>
    <cdr:cxnSp macro="">
      <cdr:nvCxnSpPr>
        <cdr:cNvPr id="555" name="NDMPlot_AnnotationLine36">
          <a:extLst xmlns:a="http://schemas.openxmlformats.org/drawingml/2006/main">
            <a:ext uri="{FF2B5EF4-FFF2-40B4-BE49-F238E27FC236}">
              <a16:creationId xmlns:a16="http://schemas.microsoft.com/office/drawing/2014/main" id="{69C23596-4764-40D5-96C7-F5DCDF1E11EA}"/>
            </a:ext>
          </a:extLst>
        </cdr:cNvPr>
        <cdr:cNvCxnSpPr/>
      </cdr:nvCxnSpPr>
      <cdr:spPr>
        <a:xfrm xmlns:a="http://schemas.openxmlformats.org/drawingml/2006/main">
          <a:off x="6000655" y="4322549"/>
          <a:ext cx="554440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0.62945</cdr:x>
      <cdr:y>0.63029</cdr:y>
    </cdr:from>
    <cdr:to>
      <cdr:x>0.62945</cdr:x>
      <cdr:y>0.82432</cdr:y>
    </cdr:to>
    <cdr:cxnSp macro="">
      <cdr:nvCxnSpPr>
        <cdr:cNvPr id="556" name="NDMPlot_AnnotationLine37">
          <a:extLst xmlns:a="http://schemas.openxmlformats.org/drawingml/2006/main">
            <a:ext uri="{FF2B5EF4-FFF2-40B4-BE49-F238E27FC236}">
              <a16:creationId xmlns:a16="http://schemas.microsoft.com/office/drawing/2014/main" id="{64FF232D-2A15-4CE5-AA2D-D09A9C3548ED}"/>
            </a:ext>
          </a:extLst>
        </cdr:cNvPr>
        <cdr:cNvCxnSpPr/>
      </cdr:nvCxnSpPr>
      <cdr:spPr>
        <a:xfrm xmlns:a="http://schemas.openxmlformats.org/drawingml/2006/main" flipV="1">
          <a:off x="6555095" y="4322549"/>
          <a:ext cx="0" cy="1330657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lg" len="lg"/>
          <a:tailEnd type="triangle" w="lg" len="lg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0.62912</cdr:x>
      <cdr:y>0.58842</cdr:y>
    </cdr:from>
    <cdr:to>
      <cdr:x>0.65107</cdr:x>
      <cdr:y>0.8662</cdr:y>
    </cdr:to>
    <cdr:sp macro="" textlink="">
      <cdr:nvSpPr>
        <cdr:cNvPr id="557" name="NDMPlot_Text38">
          <a:extLst xmlns:a="http://schemas.openxmlformats.org/drawingml/2006/main">
            <a:ext uri="{FF2B5EF4-FFF2-40B4-BE49-F238E27FC236}">
              <a16:creationId xmlns:a16="http://schemas.microsoft.com/office/drawing/2014/main" id="{6819EEAD-D1A5-4863-B067-687E1C2F534C}"/>
            </a:ext>
          </a:extLst>
        </cdr:cNvPr>
        <cdr:cNvSpPr txBox="1"/>
      </cdr:nvSpPr>
      <cdr:spPr>
        <a:xfrm xmlns:a="http://schemas.openxmlformats.org/drawingml/2006/main" rot="5400000">
          <a:off x="5713483" y="4873578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873" b="1">
              <a:solidFill>
                <a:srgbClr val="141E5A"/>
              </a:solidFill>
            </a:rPr>
            <a:t>H2=240 mm</a:t>
          </a:r>
          <a:endParaRPr lang="ru-RU" sz="873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0.82439</cdr:x>
      <cdr:y>0.02222</cdr:y>
    </cdr:from>
    <cdr:to>
      <cdr:x>0.98537</cdr:x>
      <cdr:y>0.06296</cdr:y>
    </cdr:to>
    <cdr:sp macro="" textlink="">
      <cdr:nvSpPr>
        <cdr:cNvPr id="558" name="NDMPlot_Text39">
          <a:extLst xmlns:a="http://schemas.openxmlformats.org/drawingml/2006/main">
            <a:ext uri="{FF2B5EF4-FFF2-40B4-BE49-F238E27FC236}">
              <a16:creationId xmlns:a16="http://schemas.microsoft.com/office/drawing/2014/main" id="{2C92EC4A-D5F4-4CD0-8F50-80ABBC9A8521}"/>
            </a:ext>
          </a:extLst>
        </cdr:cNvPr>
        <cdr:cNvSpPr txBox="1"/>
      </cdr:nvSpPr>
      <cdr:spPr>
        <a:xfrm xmlns:a="http://schemas.openxmlformats.org/drawingml/2006/main">
          <a:off x="8585200" y="1524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>
              <a:solidFill>
                <a:srgbClr val="1E1E1E"/>
              </a:solidFill>
            </a:rPr>
            <a:t>Stress, MPa</a:t>
          </a:r>
          <a:endParaRPr lang="ru-RU" sz="800" b="1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0.07407</cdr:y>
    </cdr:from>
    <cdr:to>
      <cdr:x>0.85366</cdr:x>
      <cdr:y>0.0963</cdr:y>
    </cdr:to>
    <cdr:sp macro="" textlink="">
      <cdr:nvSpPr>
        <cdr:cNvPr id="559" name="NDMPlot_LegendGradient40">
          <a:extLst xmlns:a="http://schemas.openxmlformats.org/drawingml/2006/main">
            <a:ext uri="{FF2B5EF4-FFF2-40B4-BE49-F238E27FC236}">
              <a16:creationId xmlns:a16="http://schemas.microsoft.com/office/drawing/2014/main" id="{D2AF68CB-01C8-4BB4-B8D7-313A5F605E61}"/>
            </a:ext>
          </a:extLst>
        </cdr:cNvPr>
        <cdr:cNvSpPr/>
      </cdr:nvSpPr>
      <cdr:spPr>
        <a:xfrm xmlns:a="http://schemas.openxmlformats.org/drawingml/2006/main">
          <a:off x="8661400" y="5080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D21E14"/>
        </a:solidFill>
        <a:ln xmlns:a="http://schemas.openxmlformats.org/drawingml/2006/main">
          <a:solidFill>
            <a:srgbClr val="D21E1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0.09444</cdr:y>
    </cdr:from>
    <cdr:to>
      <cdr:x>0.85366</cdr:x>
      <cdr:y>0.11667</cdr:y>
    </cdr:to>
    <cdr:sp macro="" textlink="">
      <cdr:nvSpPr>
        <cdr:cNvPr id="560" name="NDMPlot_LegendGradient41">
          <a:extLst xmlns:a="http://schemas.openxmlformats.org/drawingml/2006/main">
            <a:ext uri="{FF2B5EF4-FFF2-40B4-BE49-F238E27FC236}">
              <a16:creationId xmlns:a16="http://schemas.microsoft.com/office/drawing/2014/main" id="{6B954BC6-CCFC-4302-AAD4-E3CC02B78A8F}"/>
            </a:ext>
          </a:extLst>
        </cdr:cNvPr>
        <cdr:cNvSpPr/>
      </cdr:nvSpPr>
      <cdr:spPr>
        <a:xfrm xmlns:a="http://schemas.openxmlformats.org/drawingml/2006/main">
          <a:off x="8661400" y="6477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D34038"/>
        </a:solidFill>
        <a:ln xmlns:a="http://schemas.openxmlformats.org/drawingml/2006/main">
          <a:solidFill>
            <a:srgbClr val="D3403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0.11481</cdr:y>
    </cdr:from>
    <cdr:to>
      <cdr:x>0.85366</cdr:x>
      <cdr:y>0.13704</cdr:y>
    </cdr:to>
    <cdr:sp macro="" textlink="">
      <cdr:nvSpPr>
        <cdr:cNvPr id="561" name="NDMPlot_LegendGradient42">
          <a:extLst xmlns:a="http://schemas.openxmlformats.org/drawingml/2006/main">
            <a:ext uri="{FF2B5EF4-FFF2-40B4-BE49-F238E27FC236}">
              <a16:creationId xmlns:a16="http://schemas.microsoft.com/office/drawing/2014/main" id="{E1DA74F6-F872-4D12-BD92-5A4028694B31}"/>
            </a:ext>
          </a:extLst>
        </cdr:cNvPr>
        <cdr:cNvSpPr/>
      </cdr:nvSpPr>
      <cdr:spPr>
        <a:xfrm xmlns:a="http://schemas.openxmlformats.org/drawingml/2006/main">
          <a:off x="8661400" y="7874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D5625C"/>
        </a:solidFill>
        <a:ln xmlns:a="http://schemas.openxmlformats.org/drawingml/2006/main">
          <a:solidFill>
            <a:srgbClr val="D5625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0.13519</cdr:y>
    </cdr:from>
    <cdr:to>
      <cdr:x>0.85366</cdr:x>
      <cdr:y>0.15741</cdr:y>
    </cdr:to>
    <cdr:sp macro="" textlink="">
      <cdr:nvSpPr>
        <cdr:cNvPr id="562" name="NDMPlot_LegendGradient43">
          <a:extLst xmlns:a="http://schemas.openxmlformats.org/drawingml/2006/main">
            <a:ext uri="{FF2B5EF4-FFF2-40B4-BE49-F238E27FC236}">
              <a16:creationId xmlns:a16="http://schemas.microsoft.com/office/drawing/2014/main" id="{CAC76E89-A77D-4A92-A377-EB433044DCE7}"/>
            </a:ext>
          </a:extLst>
        </cdr:cNvPr>
        <cdr:cNvSpPr/>
      </cdr:nvSpPr>
      <cdr:spPr>
        <a:xfrm xmlns:a="http://schemas.openxmlformats.org/drawingml/2006/main">
          <a:off x="8661400" y="9271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D68580"/>
        </a:solidFill>
        <a:ln xmlns:a="http://schemas.openxmlformats.org/drawingml/2006/main">
          <a:solidFill>
            <a:srgbClr val="D6858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0.15556</cdr:y>
    </cdr:from>
    <cdr:to>
      <cdr:x>0.85366</cdr:x>
      <cdr:y>0.17778</cdr:y>
    </cdr:to>
    <cdr:sp macro="" textlink="">
      <cdr:nvSpPr>
        <cdr:cNvPr id="563" name="NDMPlot_LegendGradient44">
          <a:extLst xmlns:a="http://schemas.openxmlformats.org/drawingml/2006/main">
            <a:ext uri="{FF2B5EF4-FFF2-40B4-BE49-F238E27FC236}">
              <a16:creationId xmlns:a16="http://schemas.microsoft.com/office/drawing/2014/main" id="{DB9B1EFD-6AE4-40AF-A638-3994367095C1}"/>
            </a:ext>
          </a:extLst>
        </cdr:cNvPr>
        <cdr:cNvSpPr/>
      </cdr:nvSpPr>
      <cdr:spPr>
        <a:xfrm xmlns:a="http://schemas.openxmlformats.org/drawingml/2006/main">
          <a:off x="8661400" y="10668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D8A7A4"/>
        </a:solidFill>
        <a:ln xmlns:a="http://schemas.openxmlformats.org/drawingml/2006/main">
          <a:solidFill>
            <a:srgbClr val="D8A7A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0.17593</cdr:y>
    </cdr:from>
    <cdr:to>
      <cdr:x>0.85366</cdr:x>
      <cdr:y>0.19815</cdr:y>
    </cdr:to>
    <cdr:sp macro="" textlink="">
      <cdr:nvSpPr>
        <cdr:cNvPr id="564" name="NDMPlot_LegendGradient45">
          <a:extLst xmlns:a="http://schemas.openxmlformats.org/drawingml/2006/main">
            <a:ext uri="{FF2B5EF4-FFF2-40B4-BE49-F238E27FC236}">
              <a16:creationId xmlns:a16="http://schemas.microsoft.com/office/drawing/2014/main" id="{4681B210-AC34-4C49-9BC2-AAA8A4616B3D}"/>
            </a:ext>
          </a:extLst>
        </cdr:cNvPr>
        <cdr:cNvSpPr/>
      </cdr:nvSpPr>
      <cdr:spPr>
        <a:xfrm xmlns:a="http://schemas.openxmlformats.org/drawingml/2006/main">
          <a:off x="8661400" y="12065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D9C9C8"/>
        </a:solidFill>
        <a:ln xmlns:a="http://schemas.openxmlformats.org/drawingml/2006/main">
          <a:solidFill>
            <a:srgbClr val="D9C9C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0.1963</cdr:y>
    </cdr:from>
    <cdr:to>
      <cdr:x>0.85366</cdr:x>
      <cdr:y>0.21852</cdr:y>
    </cdr:to>
    <cdr:sp macro="" textlink="">
      <cdr:nvSpPr>
        <cdr:cNvPr id="565" name="NDMPlot_LegendGradient46">
          <a:extLst xmlns:a="http://schemas.openxmlformats.org/drawingml/2006/main">
            <a:ext uri="{FF2B5EF4-FFF2-40B4-BE49-F238E27FC236}">
              <a16:creationId xmlns:a16="http://schemas.microsoft.com/office/drawing/2014/main" id="{0A01F149-6DDC-4CC3-8A04-8AAA05456C5D}"/>
            </a:ext>
          </a:extLst>
        </cdr:cNvPr>
        <cdr:cNvSpPr/>
      </cdr:nvSpPr>
      <cdr:spPr>
        <a:xfrm xmlns:a="http://schemas.openxmlformats.org/drawingml/2006/main">
          <a:off x="8661400" y="13462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C9CDDA"/>
        </a:solidFill>
        <a:ln xmlns:a="http://schemas.openxmlformats.org/drawingml/2006/main">
          <a:solidFill>
            <a:srgbClr val="C9CD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0.21667</cdr:y>
    </cdr:from>
    <cdr:to>
      <cdr:x>0.85366</cdr:x>
      <cdr:y>0.23889</cdr:y>
    </cdr:to>
    <cdr:sp macro="" textlink="">
      <cdr:nvSpPr>
        <cdr:cNvPr id="566" name="NDMPlot_LegendGradient47">
          <a:extLst xmlns:a="http://schemas.openxmlformats.org/drawingml/2006/main">
            <a:ext uri="{FF2B5EF4-FFF2-40B4-BE49-F238E27FC236}">
              <a16:creationId xmlns:a16="http://schemas.microsoft.com/office/drawing/2014/main" id="{BD7F9A61-E090-4614-8802-D0CF741ACA0E}"/>
            </a:ext>
          </a:extLst>
        </cdr:cNvPr>
        <cdr:cNvSpPr/>
      </cdr:nvSpPr>
      <cdr:spPr>
        <a:xfrm xmlns:a="http://schemas.openxmlformats.org/drawingml/2006/main">
          <a:off x="8661400" y="14859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A7B4DB"/>
        </a:solidFill>
        <a:ln xmlns:a="http://schemas.openxmlformats.org/drawingml/2006/main">
          <a:solidFill>
            <a:srgbClr val="A7B4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0.23704</cdr:y>
    </cdr:from>
    <cdr:to>
      <cdr:x>0.85366</cdr:x>
      <cdr:y>0.25926</cdr:y>
    </cdr:to>
    <cdr:sp macro="" textlink="">
      <cdr:nvSpPr>
        <cdr:cNvPr id="567" name="NDMPlot_LegendGradient48">
          <a:extLst xmlns:a="http://schemas.openxmlformats.org/drawingml/2006/main">
            <a:ext uri="{FF2B5EF4-FFF2-40B4-BE49-F238E27FC236}">
              <a16:creationId xmlns:a16="http://schemas.microsoft.com/office/drawing/2014/main" id="{53E210C8-AA4A-46C1-9D80-5585025B8A6B}"/>
            </a:ext>
          </a:extLst>
        </cdr:cNvPr>
        <cdr:cNvSpPr/>
      </cdr:nvSpPr>
      <cdr:spPr>
        <a:xfrm xmlns:a="http://schemas.openxmlformats.org/drawingml/2006/main">
          <a:off x="8661400" y="16256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859BDB"/>
        </a:solidFill>
        <a:ln xmlns:a="http://schemas.openxmlformats.org/drawingml/2006/main">
          <a:solidFill>
            <a:srgbClr val="859B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0.25741</cdr:y>
    </cdr:from>
    <cdr:to>
      <cdr:x>0.85366</cdr:x>
      <cdr:y>0.27963</cdr:y>
    </cdr:to>
    <cdr:sp macro="" textlink="">
      <cdr:nvSpPr>
        <cdr:cNvPr id="568" name="NDMPlot_LegendGradient49">
          <a:extLst xmlns:a="http://schemas.openxmlformats.org/drawingml/2006/main">
            <a:ext uri="{FF2B5EF4-FFF2-40B4-BE49-F238E27FC236}">
              <a16:creationId xmlns:a16="http://schemas.microsoft.com/office/drawing/2014/main" id="{169616CF-C859-4CCA-9209-86AF3AEA9733}"/>
            </a:ext>
          </a:extLst>
        </cdr:cNvPr>
        <cdr:cNvSpPr/>
      </cdr:nvSpPr>
      <cdr:spPr>
        <a:xfrm xmlns:a="http://schemas.openxmlformats.org/drawingml/2006/main">
          <a:off x="8661400" y="17653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6282DB"/>
        </a:solidFill>
        <a:ln xmlns:a="http://schemas.openxmlformats.org/drawingml/2006/main">
          <a:solidFill>
            <a:srgbClr val="6282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0.27778</cdr:y>
    </cdr:from>
    <cdr:to>
      <cdr:x>0.85366</cdr:x>
      <cdr:y>0.3</cdr:y>
    </cdr:to>
    <cdr:sp macro="" textlink="">
      <cdr:nvSpPr>
        <cdr:cNvPr id="569" name="NDMPlot_LegendGradient50">
          <a:extLst xmlns:a="http://schemas.openxmlformats.org/drawingml/2006/main">
            <a:ext uri="{FF2B5EF4-FFF2-40B4-BE49-F238E27FC236}">
              <a16:creationId xmlns:a16="http://schemas.microsoft.com/office/drawing/2014/main" id="{D77F9FB8-8212-4342-909B-8D2A5836EE0B}"/>
            </a:ext>
          </a:extLst>
        </cdr:cNvPr>
        <cdr:cNvSpPr/>
      </cdr:nvSpPr>
      <cdr:spPr>
        <a:xfrm xmlns:a="http://schemas.openxmlformats.org/drawingml/2006/main">
          <a:off x="8661400" y="19050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4069DC"/>
        </a:solidFill>
        <a:ln xmlns:a="http://schemas.openxmlformats.org/drawingml/2006/main">
          <a:solidFill>
            <a:srgbClr val="4069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0.29815</cdr:y>
    </cdr:from>
    <cdr:to>
      <cdr:x>0.85366</cdr:x>
      <cdr:y>0.32037</cdr:y>
    </cdr:to>
    <cdr:sp macro="" textlink="">
      <cdr:nvSpPr>
        <cdr:cNvPr id="570" name="NDMPlot_LegendGradient51">
          <a:extLst xmlns:a="http://schemas.openxmlformats.org/drawingml/2006/main">
            <a:ext uri="{FF2B5EF4-FFF2-40B4-BE49-F238E27FC236}">
              <a16:creationId xmlns:a16="http://schemas.microsoft.com/office/drawing/2014/main" id="{1E3AA0E5-F62F-46D1-A269-F8C4E25C5BED}"/>
            </a:ext>
          </a:extLst>
        </cdr:cNvPr>
        <cdr:cNvSpPr/>
      </cdr:nvSpPr>
      <cdr:spPr>
        <a:xfrm xmlns:a="http://schemas.openxmlformats.org/drawingml/2006/main">
          <a:off x="8661400" y="20447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1E50DC"/>
        </a:solidFill>
        <a:ln xmlns:a="http://schemas.openxmlformats.org/drawingml/2006/main">
          <a:solidFill>
            <a:srgbClr val="1E50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0.05185</cdr:y>
    </cdr:from>
    <cdr:to>
      <cdr:x>0.96829</cdr:x>
      <cdr:y>0.07778</cdr:y>
    </cdr:to>
    <cdr:sp macro="" textlink="">
      <cdr:nvSpPr>
        <cdr:cNvPr id="571" name="NDMPlot_Text52">
          <a:extLst xmlns:a="http://schemas.openxmlformats.org/drawingml/2006/main">
            <a:ext uri="{FF2B5EF4-FFF2-40B4-BE49-F238E27FC236}">
              <a16:creationId xmlns:a16="http://schemas.microsoft.com/office/drawing/2014/main" id="{19B8F17D-6B23-4372-BD88-77CC71A2C104}"/>
            </a:ext>
          </a:extLst>
        </cdr:cNvPr>
        <cdr:cNvSpPr txBox="1"/>
      </cdr:nvSpPr>
      <cdr:spPr>
        <a:xfrm xmlns:a="http://schemas.openxmlformats.org/drawingml/2006/main">
          <a:off x="8966200" y="3556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0.08148</cdr:y>
    </cdr:from>
    <cdr:to>
      <cdr:x>0.96341</cdr:x>
      <cdr:y>0.11111</cdr:y>
    </cdr:to>
    <cdr:sp macro="" textlink="">
      <cdr:nvSpPr>
        <cdr:cNvPr id="572" name="NDMPlot_Text53">
          <a:extLst xmlns:a="http://schemas.openxmlformats.org/drawingml/2006/main">
            <a:ext uri="{FF2B5EF4-FFF2-40B4-BE49-F238E27FC236}">
              <a16:creationId xmlns:a16="http://schemas.microsoft.com/office/drawing/2014/main" id="{7ED97A97-0452-4B7C-AEDE-5FCA15C24B05}"/>
            </a:ext>
          </a:extLst>
        </cdr:cNvPr>
        <cdr:cNvSpPr txBox="1"/>
      </cdr:nvSpPr>
      <cdr:spPr>
        <a:xfrm xmlns:a="http://schemas.openxmlformats.org/drawingml/2006/main">
          <a:off x="8966200" y="5588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-146.8</a:t>
          </a:r>
        </a:p>
      </cdr:txBody>
    </cdr:sp>
  </cdr:relSizeAnchor>
  <cdr:relSizeAnchor xmlns:cdr="http://schemas.openxmlformats.org/drawingml/2006/chartDrawing">
    <cdr:from>
      <cdr:x>0.86098</cdr:x>
      <cdr:y>0.18148</cdr:y>
    </cdr:from>
    <cdr:to>
      <cdr:x>0.96341</cdr:x>
      <cdr:y>0.21111</cdr:y>
    </cdr:to>
    <cdr:sp macro="" textlink="">
      <cdr:nvSpPr>
        <cdr:cNvPr id="573" name="NDMPlot_Text54">
          <a:extLst xmlns:a="http://schemas.openxmlformats.org/drawingml/2006/main">
            <a:ext uri="{FF2B5EF4-FFF2-40B4-BE49-F238E27FC236}">
              <a16:creationId xmlns:a16="http://schemas.microsoft.com/office/drawing/2014/main" id="{176AA62A-C25B-452F-82AF-D066553328FD}"/>
            </a:ext>
          </a:extLst>
        </cdr:cNvPr>
        <cdr:cNvSpPr txBox="1"/>
      </cdr:nvSpPr>
      <cdr:spPr>
        <a:xfrm xmlns:a="http://schemas.openxmlformats.org/drawingml/2006/main">
          <a:off x="8966200" y="12446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0.3</cdr:y>
    </cdr:from>
    <cdr:to>
      <cdr:x>0.96341</cdr:x>
      <cdr:y>0.32963</cdr:y>
    </cdr:to>
    <cdr:sp macro="" textlink="">
      <cdr:nvSpPr>
        <cdr:cNvPr id="574" name="NDMPlot_Text55">
          <a:extLst xmlns:a="http://schemas.openxmlformats.org/drawingml/2006/main">
            <a:ext uri="{FF2B5EF4-FFF2-40B4-BE49-F238E27FC236}">
              <a16:creationId xmlns:a16="http://schemas.microsoft.com/office/drawing/2014/main" id="{3126E03A-8923-46AE-B59F-D76A165CCC75}"/>
            </a:ext>
          </a:extLst>
        </cdr:cNvPr>
        <cdr:cNvSpPr txBox="1"/>
      </cdr:nvSpPr>
      <cdr:spPr>
        <a:xfrm xmlns:a="http://schemas.openxmlformats.org/drawingml/2006/main">
          <a:off x="8966200" y="20574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127.9</a:t>
          </a:r>
        </a:p>
      </cdr:txBody>
    </cdr:sp>
  </cdr:relSizeAnchor>
  <cdr:relSizeAnchor xmlns:cdr="http://schemas.openxmlformats.org/drawingml/2006/chartDrawing">
    <cdr:from>
      <cdr:x>0.86098</cdr:x>
      <cdr:y>0.32593</cdr:y>
    </cdr:from>
    <cdr:to>
      <cdr:x>0.96829</cdr:x>
      <cdr:y>0.35185</cdr:y>
    </cdr:to>
    <cdr:sp macro="" textlink="">
      <cdr:nvSpPr>
        <cdr:cNvPr id="575" name="NDMPlot_Text56">
          <a:extLst xmlns:a="http://schemas.openxmlformats.org/drawingml/2006/main">
            <a:ext uri="{FF2B5EF4-FFF2-40B4-BE49-F238E27FC236}">
              <a16:creationId xmlns:a16="http://schemas.microsoft.com/office/drawing/2014/main" id="{CDFC826A-1BE2-4E4B-A457-83EFE2C7C90C}"/>
            </a:ext>
          </a:extLst>
        </cdr:cNvPr>
        <cdr:cNvSpPr txBox="1"/>
      </cdr:nvSpPr>
      <cdr:spPr>
        <a:xfrm xmlns:a="http://schemas.openxmlformats.org/drawingml/2006/main">
          <a:off x="8966200" y="22352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0.82439</cdr:x>
      <cdr:y>0.3963</cdr:y>
    </cdr:from>
    <cdr:to>
      <cdr:x>0.98537</cdr:x>
      <cdr:y>0.43704</cdr:y>
    </cdr:to>
    <cdr:sp macro="" textlink="">
      <cdr:nvSpPr>
        <cdr:cNvPr id="576" name="NDMPlot_Text57">
          <a:extLst xmlns:a="http://schemas.openxmlformats.org/drawingml/2006/main">
            <a:ext uri="{FF2B5EF4-FFF2-40B4-BE49-F238E27FC236}">
              <a16:creationId xmlns:a16="http://schemas.microsoft.com/office/drawing/2014/main" id="{43A48399-CF47-4185-B403-BBB0F108EA4D}"/>
            </a:ext>
          </a:extLst>
        </cdr:cNvPr>
        <cdr:cNvSpPr txBox="1"/>
      </cdr:nvSpPr>
      <cdr:spPr>
        <a:xfrm xmlns:a="http://schemas.openxmlformats.org/drawingml/2006/main">
          <a:off x="8585200" y="27178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>
              <a:solidFill>
                <a:srgbClr val="1E1E1E"/>
              </a:solidFill>
            </a:rPr>
            <a:t>Stress, MPa</a:t>
          </a:r>
          <a:endParaRPr lang="ru-RU" sz="800" b="1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0.44815</cdr:y>
    </cdr:from>
    <cdr:to>
      <cdr:x>0.85366</cdr:x>
      <cdr:y>0.47037</cdr:y>
    </cdr:to>
    <cdr:sp macro="" textlink="">
      <cdr:nvSpPr>
        <cdr:cNvPr id="577" name="NDMPlot_LegendGradient58">
          <a:extLst xmlns:a="http://schemas.openxmlformats.org/drawingml/2006/main">
            <a:ext uri="{FF2B5EF4-FFF2-40B4-BE49-F238E27FC236}">
              <a16:creationId xmlns:a16="http://schemas.microsoft.com/office/drawing/2014/main" id="{FFBB1933-C688-4D45-A655-16442CDF128A}"/>
            </a:ext>
          </a:extLst>
        </cdr:cNvPr>
        <cdr:cNvSpPr/>
      </cdr:nvSpPr>
      <cdr:spPr>
        <a:xfrm xmlns:a="http://schemas.openxmlformats.org/drawingml/2006/main">
          <a:off x="8661400" y="30734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0.46852</cdr:y>
    </cdr:from>
    <cdr:to>
      <cdr:x>0.85366</cdr:x>
      <cdr:y>0.49074</cdr:y>
    </cdr:to>
    <cdr:sp macro="" textlink="">
      <cdr:nvSpPr>
        <cdr:cNvPr id="578" name="NDMPlot_LegendGradient59">
          <a:extLst xmlns:a="http://schemas.openxmlformats.org/drawingml/2006/main">
            <a:ext uri="{FF2B5EF4-FFF2-40B4-BE49-F238E27FC236}">
              <a16:creationId xmlns:a16="http://schemas.microsoft.com/office/drawing/2014/main" id="{6C0EAF2D-7ACB-4F10-94F3-E017225C7C13}"/>
            </a:ext>
          </a:extLst>
        </cdr:cNvPr>
        <cdr:cNvSpPr/>
      </cdr:nvSpPr>
      <cdr:spPr>
        <a:xfrm xmlns:a="http://schemas.openxmlformats.org/drawingml/2006/main">
          <a:off x="8661400" y="32131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8E44D3"/>
        </a:solidFill>
        <a:ln xmlns:a="http://schemas.openxmlformats.org/drawingml/2006/main">
          <a:solidFill>
            <a:srgbClr val="8E44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0.48889</cdr:y>
    </cdr:from>
    <cdr:to>
      <cdr:x>0.85366</cdr:x>
      <cdr:y>0.51111</cdr:y>
    </cdr:to>
    <cdr:sp macro="" textlink="">
      <cdr:nvSpPr>
        <cdr:cNvPr id="579" name="NDMPlot_LegendGradient60">
          <a:extLst xmlns:a="http://schemas.openxmlformats.org/drawingml/2006/main">
            <a:ext uri="{FF2B5EF4-FFF2-40B4-BE49-F238E27FC236}">
              <a16:creationId xmlns:a16="http://schemas.microsoft.com/office/drawing/2014/main" id="{A1A6488B-A137-409D-AEBC-4B96E18BDF7E}"/>
            </a:ext>
          </a:extLst>
        </cdr:cNvPr>
        <cdr:cNvSpPr/>
      </cdr:nvSpPr>
      <cdr:spPr>
        <a:xfrm xmlns:a="http://schemas.openxmlformats.org/drawingml/2006/main">
          <a:off x="8661400" y="33528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9F66D5"/>
        </a:solidFill>
        <a:ln xmlns:a="http://schemas.openxmlformats.org/drawingml/2006/main">
          <a:solidFill>
            <a:srgbClr val="9F66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0.50926</cdr:y>
    </cdr:from>
    <cdr:to>
      <cdr:x>0.85366</cdr:x>
      <cdr:y>0.53148</cdr:y>
    </cdr:to>
    <cdr:sp macro="" textlink="">
      <cdr:nvSpPr>
        <cdr:cNvPr id="580" name="NDMPlot_LegendGradient61">
          <a:extLst xmlns:a="http://schemas.openxmlformats.org/drawingml/2006/main">
            <a:ext uri="{FF2B5EF4-FFF2-40B4-BE49-F238E27FC236}">
              <a16:creationId xmlns:a16="http://schemas.microsoft.com/office/drawing/2014/main" id="{AC14995C-17EE-4F91-8523-1EB4C43E6B24}"/>
            </a:ext>
          </a:extLst>
        </cdr:cNvPr>
        <cdr:cNvSpPr/>
      </cdr:nvSpPr>
      <cdr:spPr>
        <a:xfrm xmlns:a="http://schemas.openxmlformats.org/drawingml/2006/main">
          <a:off x="8661400" y="34925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B087D6"/>
        </a:solidFill>
        <a:ln xmlns:a="http://schemas.openxmlformats.org/drawingml/2006/main">
          <a:solidFill>
            <a:srgbClr val="B08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0.52963</cdr:y>
    </cdr:from>
    <cdr:to>
      <cdr:x>0.85366</cdr:x>
      <cdr:y>0.55185</cdr:y>
    </cdr:to>
    <cdr:sp macro="" textlink="">
      <cdr:nvSpPr>
        <cdr:cNvPr id="581" name="NDMPlot_LegendGradient62">
          <a:extLst xmlns:a="http://schemas.openxmlformats.org/drawingml/2006/main">
            <a:ext uri="{FF2B5EF4-FFF2-40B4-BE49-F238E27FC236}">
              <a16:creationId xmlns:a16="http://schemas.microsoft.com/office/drawing/2014/main" id="{500E1B1D-583D-4233-A7B6-38B6B29EFD8B}"/>
            </a:ext>
          </a:extLst>
        </cdr:cNvPr>
        <cdr:cNvSpPr/>
      </cdr:nvSpPr>
      <cdr:spPr>
        <a:xfrm xmlns:a="http://schemas.openxmlformats.org/drawingml/2006/main">
          <a:off x="8661400" y="36322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C1A8D8"/>
        </a:solidFill>
        <a:ln xmlns:a="http://schemas.openxmlformats.org/drawingml/2006/main">
          <a:solidFill>
            <a:srgbClr val="C1A8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0.55</cdr:y>
    </cdr:from>
    <cdr:to>
      <cdr:x>0.85366</cdr:x>
      <cdr:y>0.57222</cdr:y>
    </cdr:to>
    <cdr:sp macro="" textlink="">
      <cdr:nvSpPr>
        <cdr:cNvPr id="582" name="NDMPlot_LegendGradient63">
          <a:extLst xmlns:a="http://schemas.openxmlformats.org/drawingml/2006/main">
            <a:ext uri="{FF2B5EF4-FFF2-40B4-BE49-F238E27FC236}">
              <a16:creationId xmlns:a16="http://schemas.microsoft.com/office/drawing/2014/main" id="{BF9C88A4-3D56-4FE9-BC20-E5FF9429ECFB}"/>
            </a:ext>
          </a:extLst>
        </cdr:cNvPr>
        <cdr:cNvSpPr/>
      </cdr:nvSpPr>
      <cdr:spPr>
        <a:xfrm xmlns:a="http://schemas.openxmlformats.org/drawingml/2006/main">
          <a:off x="8661400" y="37719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D2C9D9"/>
        </a:solidFill>
        <a:ln xmlns:a="http://schemas.openxmlformats.org/drawingml/2006/main">
          <a:solidFill>
            <a:srgbClr val="D2C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0.57037</cdr:y>
    </cdr:from>
    <cdr:to>
      <cdr:x>0.85366</cdr:x>
      <cdr:y>0.59259</cdr:y>
    </cdr:to>
    <cdr:sp macro="" textlink="">
      <cdr:nvSpPr>
        <cdr:cNvPr id="583" name="NDMPlot_LegendGradient64">
          <a:extLst xmlns:a="http://schemas.openxmlformats.org/drawingml/2006/main">
            <a:ext uri="{FF2B5EF4-FFF2-40B4-BE49-F238E27FC236}">
              <a16:creationId xmlns:a16="http://schemas.microsoft.com/office/drawing/2014/main" id="{16EF6B67-5F28-4EA6-B988-DA3BE38BBED9}"/>
            </a:ext>
          </a:extLst>
        </cdr:cNvPr>
        <cdr:cNvSpPr/>
      </cdr:nvSpPr>
      <cdr:spPr>
        <a:xfrm xmlns:a="http://schemas.openxmlformats.org/drawingml/2006/main">
          <a:off x="8661400" y="39116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C6D4CE"/>
        </a:solidFill>
        <a:ln xmlns:a="http://schemas.openxmlformats.org/drawingml/2006/main">
          <a:solidFill>
            <a:srgbClr val="C6D4C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0.59074</cdr:y>
    </cdr:from>
    <cdr:to>
      <cdr:x>0.85366</cdr:x>
      <cdr:y>0.61296</cdr:y>
    </cdr:to>
    <cdr:sp macro="" textlink="">
      <cdr:nvSpPr>
        <cdr:cNvPr id="584" name="NDMPlot_LegendGradient65">
          <a:extLst xmlns:a="http://schemas.openxmlformats.org/drawingml/2006/main">
            <a:ext uri="{FF2B5EF4-FFF2-40B4-BE49-F238E27FC236}">
              <a16:creationId xmlns:a16="http://schemas.microsoft.com/office/drawing/2014/main" id="{7D61979C-A382-471D-88C2-383BE83596C3}"/>
            </a:ext>
          </a:extLst>
        </cdr:cNvPr>
        <cdr:cNvSpPr/>
      </cdr:nvSpPr>
      <cdr:spPr>
        <a:xfrm xmlns:a="http://schemas.openxmlformats.org/drawingml/2006/main">
          <a:off x="8661400" y="40513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9FC9B6"/>
        </a:solidFill>
        <a:ln xmlns:a="http://schemas.openxmlformats.org/drawingml/2006/main">
          <a:solidFill>
            <a:srgbClr val="9FC9B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0.61111</cdr:y>
    </cdr:from>
    <cdr:to>
      <cdr:x>0.85366</cdr:x>
      <cdr:y>0.63333</cdr:y>
    </cdr:to>
    <cdr:sp macro="" textlink="">
      <cdr:nvSpPr>
        <cdr:cNvPr id="585" name="NDMPlot_LegendGradient66">
          <a:extLst xmlns:a="http://schemas.openxmlformats.org/drawingml/2006/main">
            <a:ext uri="{FF2B5EF4-FFF2-40B4-BE49-F238E27FC236}">
              <a16:creationId xmlns:a16="http://schemas.microsoft.com/office/drawing/2014/main" id="{AED8AE89-27E8-4BCB-A17A-5449078B9620}"/>
            </a:ext>
          </a:extLst>
        </cdr:cNvPr>
        <cdr:cNvSpPr/>
      </cdr:nvSpPr>
      <cdr:spPr>
        <a:xfrm xmlns:a="http://schemas.openxmlformats.org/drawingml/2006/main">
          <a:off x="8661400" y="41910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77BD9E"/>
        </a:solidFill>
        <a:ln xmlns:a="http://schemas.openxmlformats.org/drawingml/2006/main">
          <a:solidFill>
            <a:srgbClr val="77BD9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0.63148</cdr:y>
    </cdr:from>
    <cdr:to>
      <cdr:x>0.85366</cdr:x>
      <cdr:y>0.6537</cdr:y>
    </cdr:to>
    <cdr:sp macro="" textlink="">
      <cdr:nvSpPr>
        <cdr:cNvPr id="586" name="NDMPlot_LegendGradient67">
          <a:extLst xmlns:a="http://schemas.openxmlformats.org/drawingml/2006/main">
            <a:ext uri="{FF2B5EF4-FFF2-40B4-BE49-F238E27FC236}">
              <a16:creationId xmlns:a16="http://schemas.microsoft.com/office/drawing/2014/main" id="{BB80E6A6-B4D2-45A1-9FCA-FFB7B8DC7D83}"/>
            </a:ext>
          </a:extLst>
        </cdr:cNvPr>
        <cdr:cNvSpPr/>
      </cdr:nvSpPr>
      <cdr:spPr>
        <a:xfrm xmlns:a="http://schemas.openxmlformats.org/drawingml/2006/main">
          <a:off x="8661400" y="43307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4FB285"/>
        </a:solidFill>
        <a:ln xmlns:a="http://schemas.openxmlformats.org/drawingml/2006/main">
          <a:solidFill>
            <a:srgbClr val="4FB28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0.65185</cdr:y>
    </cdr:from>
    <cdr:to>
      <cdr:x>0.85366</cdr:x>
      <cdr:y>0.67407</cdr:y>
    </cdr:to>
    <cdr:sp macro="" textlink="">
      <cdr:nvSpPr>
        <cdr:cNvPr id="587" name="NDMPlot_LegendGradient68">
          <a:extLst xmlns:a="http://schemas.openxmlformats.org/drawingml/2006/main">
            <a:ext uri="{FF2B5EF4-FFF2-40B4-BE49-F238E27FC236}">
              <a16:creationId xmlns:a16="http://schemas.microsoft.com/office/drawing/2014/main" id="{973E3239-5E72-4579-B99D-F973DE6BF28E}"/>
            </a:ext>
          </a:extLst>
        </cdr:cNvPr>
        <cdr:cNvSpPr/>
      </cdr:nvSpPr>
      <cdr:spPr>
        <a:xfrm xmlns:a="http://schemas.openxmlformats.org/drawingml/2006/main">
          <a:off x="8661400" y="44704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28A66D"/>
        </a:solidFill>
        <a:ln xmlns:a="http://schemas.openxmlformats.org/drawingml/2006/main">
          <a:solidFill>
            <a:srgbClr val="28A66D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0.67222</cdr:y>
    </cdr:from>
    <cdr:to>
      <cdr:x>0.85366</cdr:x>
      <cdr:y>0.69444</cdr:y>
    </cdr:to>
    <cdr:sp macro="" textlink="">
      <cdr:nvSpPr>
        <cdr:cNvPr id="588" name="NDMPlot_LegendGradient69">
          <a:extLst xmlns:a="http://schemas.openxmlformats.org/drawingml/2006/main">
            <a:ext uri="{FF2B5EF4-FFF2-40B4-BE49-F238E27FC236}">
              <a16:creationId xmlns:a16="http://schemas.microsoft.com/office/drawing/2014/main" id="{D1FE2132-E029-4D70-87C5-482915BFE4A8}"/>
            </a:ext>
          </a:extLst>
        </cdr:cNvPr>
        <cdr:cNvSpPr/>
      </cdr:nvSpPr>
      <cdr:spPr>
        <a:xfrm xmlns:a="http://schemas.openxmlformats.org/drawingml/2006/main">
          <a:off x="8661400" y="46101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009B55"/>
        </a:solidFill>
        <a:ln xmlns:a="http://schemas.openxmlformats.org/drawingml/2006/main">
          <a:solidFill>
            <a:srgbClr val="009B5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0.42593</cdr:y>
    </cdr:from>
    <cdr:to>
      <cdr:x>0.96829</cdr:x>
      <cdr:y>0.45185</cdr:y>
    </cdr:to>
    <cdr:sp macro="" textlink="">
      <cdr:nvSpPr>
        <cdr:cNvPr id="589" name="NDMPlot_Text70">
          <a:extLst xmlns:a="http://schemas.openxmlformats.org/drawingml/2006/main">
            <a:ext uri="{FF2B5EF4-FFF2-40B4-BE49-F238E27FC236}">
              <a16:creationId xmlns:a16="http://schemas.microsoft.com/office/drawing/2014/main" id="{7ADA71A3-A987-42D3-8811-E30BAE120FC5}"/>
            </a:ext>
          </a:extLst>
        </cdr:cNvPr>
        <cdr:cNvSpPr txBox="1"/>
      </cdr:nvSpPr>
      <cdr:spPr>
        <a:xfrm xmlns:a="http://schemas.openxmlformats.org/drawingml/2006/main">
          <a:off x="8966200" y="2921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0.45556</cdr:y>
    </cdr:from>
    <cdr:to>
      <cdr:x>0.96341</cdr:x>
      <cdr:y>0.48519</cdr:y>
    </cdr:to>
    <cdr:sp macro="" textlink="">
      <cdr:nvSpPr>
        <cdr:cNvPr id="590" name="NDMPlot_Text71">
          <a:extLst xmlns:a="http://schemas.openxmlformats.org/drawingml/2006/main">
            <a:ext uri="{FF2B5EF4-FFF2-40B4-BE49-F238E27FC236}">
              <a16:creationId xmlns:a16="http://schemas.microsoft.com/office/drawing/2014/main" id="{89C78706-0388-4BE9-811A-1A557385FDAC}"/>
            </a:ext>
          </a:extLst>
        </cdr:cNvPr>
        <cdr:cNvSpPr txBox="1"/>
      </cdr:nvSpPr>
      <cdr:spPr>
        <a:xfrm xmlns:a="http://schemas.openxmlformats.org/drawingml/2006/main">
          <a:off x="8966200" y="3124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-8.6</a:t>
          </a:r>
        </a:p>
      </cdr:txBody>
    </cdr:sp>
  </cdr:relSizeAnchor>
  <cdr:relSizeAnchor xmlns:cdr="http://schemas.openxmlformats.org/drawingml/2006/chartDrawing">
    <cdr:from>
      <cdr:x>0.86098</cdr:x>
      <cdr:y>0.55556</cdr:y>
    </cdr:from>
    <cdr:to>
      <cdr:x>0.96341</cdr:x>
      <cdr:y>0.58519</cdr:y>
    </cdr:to>
    <cdr:sp macro="" textlink="">
      <cdr:nvSpPr>
        <cdr:cNvPr id="591" name="NDMPlot_Text72">
          <a:extLst xmlns:a="http://schemas.openxmlformats.org/drawingml/2006/main">
            <a:ext uri="{FF2B5EF4-FFF2-40B4-BE49-F238E27FC236}">
              <a16:creationId xmlns:a16="http://schemas.microsoft.com/office/drawing/2014/main" id="{8C18B5CD-E5D5-4E3F-905F-159A8CCC8880}"/>
            </a:ext>
          </a:extLst>
        </cdr:cNvPr>
        <cdr:cNvSpPr txBox="1"/>
      </cdr:nvSpPr>
      <cdr:spPr>
        <a:xfrm xmlns:a="http://schemas.openxmlformats.org/drawingml/2006/main">
          <a:off x="8966200" y="38100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0.67407</cdr:y>
    </cdr:from>
    <cdr:to>
      <cdr:x>0.96341</cdr:x>
      <cdr:y>0.7037</cdr:y>
    </cdr:to>
    <cdr:sp macro="" textlink="">
      <cdr:nvSpPr>
        <cdr:cNvPr id="592" name="NDMPlot_Text73">
          <a:extLst xmlns:a="http://schemas.openxmlformats.org/drawingml/2006/main">
            <a:ext uri="{FF2B5EF4-FFF2-40B4-BE49-F238E27FC236}">
              <a16:creationId xmlns:a16="http://schemas.microsoft.com/office/drawing/2014/main" id="{90293773-9700-4A1B-897E-A54CDB6FFE0F}"/>
            </a:ext>
          </a:extLst>
        </cdr:cNvPr>
        <cdr:cNvSpPr txBox="1"/>
      </cdr:nvSpPr>
      <cdr:spPr>
        <a:xfrm xmlns:a="http://schemas.openxmlformats.org/drawingml/2006/main">
          <a:off x="8966200" y="46228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нет</a:t>
          </a:r>
        </a:p>
      </cdr:txBody>
    </cdr:sp>
  </cdr:relSizeAnchor>
  <cdr:relSizeAnchor xmlns:cdr="http://schemas.openxmlformats.org/drawingml/2006/chartDrawing">
    <cdr:from>
      <cdr:x>0.86098</cdr:x>
      <cdr:y>0.7</cdr:y>
    </cdr:from>
    <cdr:to>
      <cdr:x>0.96829</cdr:x>
      <cdr:y>0.72593</cdr:y>
    </cdr:to>
    <cdr:sp macro="" textlink="">
      <cdr:nvSpPr>
        <cdr:cNvPr id="593" name="NDMPlot_Text74">
          <a:extLst xmlns:a="http://schemas.openxmlformats.org/drawingml/2006/main">
            <a:ext uri="{FF2B5EF4-FFF2-40B4-BE49-F238E27FC236}">
              <a16:creationId xmlns:a16="http://schemas.microsoft.com/office/drawing/2014/main" id="{0E84A1DE-B3DA-42F7-8DA8-631C3D993598}"/>
            </a:ext>
          </a:extLst>
        </cdr:cNvPr>
        <cdr:cNvSpPr txBox="1"/>
      </cdr:nvSpPr>
      <cdr:spPr>
        <a:xfrm xmlns:a="http://schemas.openxmlformats.org/drawingml/2006/main">
          <a:off x="8966200" y="48006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>
              <a:solidFill>
                <a:srgbClr val="282828"/>
              </a:solidFill>
            </a:rPr>
            <a:t>Растяжение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4E463-481D-4ABB-9661-808E1E3BD654}">
  <sheetPr codeName="Лист1"/>
  <dimension ref="A1:AJ60"/>
  <sheetViews>
    <sheetView tabSelected="1" workbookViewId="0">
      <selection activeCell="S17" sqref="S17"/>
    </sheetView>
  </sheetViews>
  <sheetFormatPr defaultRowHeight="15" x14ac:dyDescent="0.25"/>
  <cols>
    <col min="1" max="36" width="4.42578125" customWidth="1"/>
  </cols>
  <sheetData>
    <row r="1" spans="1:36" ht="24" customHeight="1" x14ac:dyDescent="0.25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 t="s">
        <v>8</v>
      </c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</row>
    <row r="2" spans="1:36" ht="24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</row>
    <row r="3" spans="1:36" ht="14.1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</row>
    <row r="4" spans="1:36" ht="14.1" customHeigh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13" t="s">
        <v>9</v>
      </c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</row>
    <row r="5" spans="1:36" ht="14.1" customHeight="1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</row>
    <row r="6" spans="1:36" ht="14.1" customHeight="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36" ht="14.1" customHeight="1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4" t="s">
        <v>10</v>
      </c>
      <c r="T7" s="4"/>
      <c r="U7" s="4"/>
      <c r="V7" s="4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3"/>
    </row>
    <row r="8" spans="1:36" ht="14.1" customHeight="1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4" t="s">
        <v>2</v>
      </c>
      <c r="T8" s="4"/>
      <c r="U8" s="4"/>
      <c r="V8" s="4"/>
      <c r="W8" s="5"/>
      <c r="X8" s="5"/>
      <c r="Y8" s="5"/>
      <c r="Z8" s="5"/>
      <c r="AA8" s="5" t="s">
        <v>11</v>
      </c>
      <c r="AB8" s="5"/>
      <c r="AC8" s="5"/>
      <c r="AD8" s="5"/>
      <c r="AE8" s="5"/>
      <c r="AF8" s="5"/>
      <c r="AG8" s="5"/>
      <c r="AH8" s="5"/>
      <c r="AI8" s="5"/>
      <c r="AJ8" s="3"/>
    </row>
    <row r="9" spans="1:36" ht="14.1" customHeight="1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4" t="s">
        <v>3</v>
      </c>
      <c r="T9" s="4"/>
      <c r="U9" s="4"/>
      <c r="V9" s="4"/>
      <c r="W9" s="5"/>
      <c r="X9" s="5"/>
      <c r="Y9" s="5"/>
      <c r="Z9" s="5"/>
      <c r="AA9" s="5" t="s">
        <v>12</v>
      </c>
      <c r="AB9" s="5"/>
      <c r="AC9" s="5"/>
      <c r="AD9" s="5"/>
      <c r="AE9" s="5"/>
      <c r="AF9" s="5"/>
      <c r="AG9" s="5"/>
      <c r="AH9" s="5"/>
      <c r="AI9" s="5"/>
      <c r="AJ9" s="3"/>
    </row>
    <row r="10" spans="1:36" ht="14.1" customHeight="1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4" t="s">
        <v>4</v>
      </c>
      <c r="T10" s="4"/>
      <c r="U10" s="4"/>
      <c r="V10" s="4"/>
      <c r="W10" s="5"/>
      <c r="X10" s="5"/>
      <c r="Y10" s="5"/>
      <c r="Z10" s="5"/>
      <c r="AA10" s="5" t="s">
        <v>12</v>
      </c>
      <c r="AB10" s="5"/>
      <c r="AC10" s="5"/>
      <c r="AD10" s="5"/>
      <c r="AE10" s="5"/>
      <c r="AF10" s="5"/>
      <c r="AG10" s="5"/>
      <c r="AH10" s="5"/>
      <c r="AI10" s="5"/>
      <c r="AJ10" s="3"/>
    </row>
    <row r="11" spans="1:36" ht="14.1" customHeight="1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4" t="s">
        <v>13</v>
      </c>
      <c r="T11" s="4"/>
      <c r="U11" s="4"/>
      <c r="V11" s="4"/>
      <c r="W11" s="5" t="s">
        <v>14</v>
      </c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3"/>
    </row>
    <row r="12" spans="1:36" ht="14.1" customHeight="1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4" t="s">
        <v>15</v>
      </c>
      <c r="T12" s="4"/>
      <c r="U12" s="4"/>
      <c r="V12" s="4"/>
      <c r="W12" s="5" t="s">
        <v>16</v>
      </c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3"/>
    </row>
    <row r="13" spans="1:36" ht="14.1" customHeight="1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</row>
    <row r="14" spans="1:36" ht="14.1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</row>
    <row r="15" spans="1:36" ht="14.1" customHeight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</row>
    <row r="16" spans="1:36" ht="14.1" customHeight="1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13" t="s">
        <v>17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</row>
    <row r="17" spans="1:36" ht="14.1" customHeigh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 t="s">
        <v>687</v>
      </c>
      <c r="T17" s="3"/>
      <c r="U17" s="3"/>
      <c r="V17" s="3"/>
      <c r="W17" s="3" t="s">
        <v>581</v>
      </c>
      <c r="X17" s="3"/>
      <c r="Y17" s="3"/>
      <c r="Z17" s="3"/>
      <c r="AA17" s="3" t="s">
        <v>582</v>
      </c>
      <c r="AB17" s="3"/>
      <c r="AC17" s="3"/>
      <c r="AD17" s="3"/>
      <c r="AE17" s="3" t="s">
        <v>7</v>
      </c>
      <c r="AF17" s="3"/>
      <c r="AG17" s="3"/>
      <c r="AH17" s="3"/>
      <c r="AI17" s="3"/>
      <c r="AJ17" s="3"/>
    </row>
    <row r="18" spans="1:36" ht="14.1" customHeight="1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6" t="s">
        <v>688</v>
      </c>
      <c r="T18" s="5"/>
      <c r="U18" s="5"/>
      <c r="V18" s="5"/>
      <c r="W18" s="6" t="s">
        <v>698</v>
      </c>
      <c r="X18" s="5"/>
      <c r="Y18" s="5"/>
      <c r="Z18" s="5"/>
      <c r="AA18" s="6"/>
      <c r="AB18" s="5"/>
      <c r="AC18" s="5"/>
      <c r="AD18" s="5"/>
      <c r="AE18" s="6" t="s">
        <v>699</v>
      </c>
      <c r="AF18" s="5"/>
      <c r="AG18" s="5"/>
      <c r="AH18" s="5"/>
      <c r="AI18" s="3"/>
      <c r="AJ18" s="3"/>
    </row>
    <row r="19" spans="1:36" ht="14.1" customHeight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5" t="s">
        <v>689</v>
      </c>
      <c r="T19" s="5"/>
      <c r="U19" s="5"/>
      <c r="V19" s="5"/>
      <c r="W19" s="5" t="s">
        <v>92</v>
      </c>
      <c r="X19" s="5"/>
      <c r="Y19" s="5"/>
      <c r="Z19" s="5"/>
      <c r="AA19" s="5"/>
      <c r="AB19" s="5"/>
      <c r="AC19" s="5"/>
      <c r="AD19" s="5"/>
      <c r="AE19" s="5" t="s">
        <v>700</v>
      </c>
      <c r="AF19" s="5"/>
      <c r="AG19" s="5"/>
      <c r="AH19" s="5"/>
      <c r="AI19" s="3"/>
      <c r="AJ19" s="3"/>
    </row>
    <row r="20" spans="1:36" ht="14.1" customHeigh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5" t="s">
        <v>690</v>
      </c>
      <c r="T20" s="5"/>
      <c r="U20" s="5"/>
      <c r="V20" s="5"/>
      <c r="W20" s="5" t="s">
        <v>404</v>
      </c>
      <c r="X20" s="5"/>
      <c r="Y20" s="5"/>
      <c r="Z20" s="5"/>
      <c r="AA20" s="5"/>
      <c r="AB20" s="5"/>
      <c r="AC20" s="5"/>
      <c r="AD20" s="5"/>
      <c r="AE20" s="5" t="s">
        <v>701</v>
      </c>
      <c r="AF20" s="5"/>
      <c r="AG20" s="5"/>
      <c r="AH20" s="5"/>
      <c r="AI20" s="3"/>
      <c r="AJ20" s="3"/>
    </row>
    <row r="21" spans="1:36" ht="14.1" customHeigh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5" t="s">
        <v>691</v>
      </c>
      <c r="T21" s="5"/>
      <c r="U21" s="5"/>
      <c r="V21" s="5"/>
      <c r="W21" s="5">
        <v>3.0882960461511355</v>
      </c>
      <c r="X21" s="5"/>
      <c r="Y21" s="5"/>
      <c r="Z21" s="5"/>
      <c r="AA21" s="5"/>
      <c r="AB21" s="5"/>
      <c r="AC21" s="5"/>
      <c r="AD21" s="5"/>
      <c r="AE21" s="5" t="s">
        <v>702</v>
      </c>
      <c r="AF21" s="5"/>
      <c r="AG21" s="5"/>
      <c r="AH21" s="5"/>
      <c r="AI21" s="3"/>
      <c r="AJ21" s="3"/>
    </row>
    <row r="22" spans="1:36" ht="14.1" customHeight="1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5" t="s">
        <v>692</v>
      </c>
      <c r="T22" s="5"/>
      <c r="U22" s="5"/>
      <c r="V22" s="5"/>
      <c r="W22" s="5">
        <v>154.41480230755678</v>
      </c>
      <c r="X22" s="5"/>
      <c r="Y22" s="5"/>
      <c r="Z22" s="5"/>
      <c r="AA22" s="5" t="s">
        <v>233</v>
      </c>
      <c r="AB22" s="5"/>
      <c r="AC22" s="5"/>
      <c r="AD22" s="5"/>
      <c r="AE22" s="5" t="s">
        <v>703</v>
      </c>
      <c r="AF22" s="5"/>
      <c r="AG22" s="5"/>
      <c r="AH22" s="5"/>
      <c r="AI22" s="3"/>
      <c r="AJ22" s="3"/>
    </row>
    <row r="23" spans="1:36" ht="14.1" customHeight="1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5" t="s">
        <v>693</v>
      </c>
      <c r="T23" s="5"/>
      <c r="U23" s="5"/>
      <c r="V23" s="5"/>
      <c r="W23" s="5">
        <v>0</v>
      </c>
      <c r="X23" s="5"/>
      <c r="Y23" s="5"/>
      <c r="Z23" s="5"/>
      <c r="AA23" s="5" t="s">
        <v>233</v>
      </c>
      <c r="AB23" s="5"/>
      <c r="AC23" s="5"/>
      <c r="AD23" s="5"/>
      <c r="AE23" s="5" t="s">
        <v>703</v>
      </c>
      <c r="AF23" s="5"/>
      <c r="AG23" s="5"/>
      <c r="AH23" s="5"/>
      <c r="AI23" s="3"/>
      <c r="AJ23" s="3"/>
    </row>
    <row r="24" spans="1:36" ht="14.1" customHeigh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5" t="s">
        <v>694</v>
      </c>
      <c r="T24" s="5"/>
      <c r="U24" s="5"/>
      <c r="V24" s="5"/>
      <c r="W24" s="5">
        <v>154.41480230755678</v>
      </c>
      <c r="X24" s="5"/>
      <c r="Y24" s="5"/>
      <c r="Z24" s="5"/>
      <c r="AA24" s="5" t="s">
        <v>233</v>
      </c>
      <c r="AB24" s="5"/>
      <c r="AC24" s="5"/>
      <c r="AD24" s="5"/>
      <c r="AE24" s="5" t="s">
        <v>704</v>
      </c>
      <c r="AF24" s="5"/>
      <c r="AG24" s="5"/>
      <c r="AH24" s="5"/>
      <c r="AI24" s="3"/>
      <c r="AJ24" s="3"/>
    </row>
    <row r="25" spans="1:36" ht="14.1" customHeigh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5" t="s">
        <v>695</v>
      </c>
      <c r="T25" s="5"/>
      <c r="U25" s="5"/>
      <c r="V25" s="5"/>
      <c r="W25" s="5">
        <v>3.0882960461511355</v>
      </c>
      <c r="X25" s="5"/>
      <c r="Y25" s="5"/>
      <c r="Z25" s="5"/>
      <c r="AA25" s="5"/>
      <c r="AB25" s="5"/>
      <c r="AC25" s="5"/>
      <c r="AD25" s="5"/>
      <c r="AE25" s="5" t="s">
        <v>777</v>
      </c>
      <c r="AF25" s="5"/>
      <c r="AG25" s="5"/>
      <c r="AH25" s="5"/>
      <c r="AI25" s="3"/>
      <c r="AJ25" s="3"/>
    </row>
    <row r="26" spans="1:36" ht="14.1" customHeight="1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5" t="s">
        <v>696</v>
      </c>
      <c r="T26" s="5"/>
      <c r="U26" s="5"/>
      <c r="V26" s="5"/>
      <c r="W26" s="5">
        <v>8.1967041300300678E-2</v>
      </c>
      <c r="X26" s="5"/>
      <c r="Y26" s="5"/>
      <c r="Z26" s="5"/>
      <c r="AA26" s="5" t="s">
        <v>233</v>
      </c>
      <c r="AB26" s="5"/>
      <c r="AC26" s="5"/>
      <c r="AD26" s="5"/>
      <c r="AE26" s="5" t="s">
        <v>705</v>
      </c>
      <c r="AF26" s="5"/>
      <c r="AG26" s="5"/>
      <c r="AH26" s="5"/>
      <c r="AI26" s="3"/>
      <c r="AJ26" s="3"/>
    </row>
    <row r="27" spans="1:36" ht="14.1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5" t="s">
        <v>625</v>
      </c>
      <c r="T27" s="5"/>
      <c r="U27" s="5"/>
      <c r="V27" s="5"/>
      <c r="W27" s="5">
        <v>-3.7895958199882615E-3</v>
      </c>
      <c r="X27" s="5"/>
      <c r="Y27" s="5"/>
      <c r="Z27" s="5"/>
      <c r="AA27" s="5"/>
      <c r="AB27" s="5"/>
      <c r="AC27" s="5"/>
      <c r="AD27" s="5"/>
      <c r="AE27" s="5" t="s">
        <v>706</v>
      </c>
      <c r="AF27" s="5"/>
      <c r="AG27" s="5"/>
      <c r="AH27" s="5"/>
      <c r="AI27" s="3"/>
      <c r="AJ27" s="3"/>
    </row>
    <row r="28" spans="1:36" ht="14.1" customHeight="1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5" t="s">
        <v>627</v>
      </c>
      <c r="T28" s="5"/>
      <c r="U28" s="5"/>
      <c r="V28" s="5"/>
      <c r="W28" s="5">
        <v>9.3006976137728188E-6</v>
      </c>
      <c r="X28" s="5"/>
      <c r="Y28" s="5"/>
      <c r="Z28" s="5"/>
      <c r="AA28" s="5" t="s">
        <v>237</v>
      </c>
      <c r="AB28" s="5"/>
      <c r="AC28" s="5"/>
      <c r="AD28" s="5"/>
      <c r="AE28" s="5" t="s">
        <v>707</v>
      </c>
      <c r="AF28" s="5"/>
      <c r="AG28" s="5"/>
      <c r="AH28" s="5"/>
      <c r="AI28" s="3"/>
      <c r="AJ28" s="3"/>
    </row>
    <row r="29" spans="1:36" ht="14.1" customHeight="1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5" t="s">
        <v>629</v>
      </c>
      <c r="T29" s="5"/>
      <c r="U29" s="5"/>
      <c r="V29" s="5"/>
      <c r="W29" s="5">
        <v>5.1790933856402791E-6</v>
      </c>
      <c r="X29" s="5"/>
      <c r="Y29" s="5"/>
      <c r="Z29" s="5"/>
      <c r="AA29" s="5" t="s">
        <v>237</v>
      </c>
      <c r="AB29" s="5"/>
      <c r="AC29" s="5"/>
      <c r="AD29" s="5"/>
      <c r="AE29" s="5" t="s">
        <v>708</v>
      </c>
      <c r="AF29" s="5"/>
      <c r="AG29" s="5"/>
      <c r="AH29" s="5"/>
      <c r="AI29" s="3"/>
      <c r="AJ29" s="3"/>
    </row>
    <row r="30" spans="1:36" ht="14.1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5" t="s">
        <v>697</v>
      </c>
      <c r="T30" s="5"/>
      <c r="U30" s="5"/>
      <c r="V30" s="5"/>
      <c r="W30" s="5">
        <v>-3.4999999999999996E-3</v>
      </c>
      <c r="X30" s="5"/>
      <c r="Y30" s="5"/>
      <c r="Z30" s="5"/>
      <c r="AA30" s="5"/>
      <c r="AB30" s="5"/>
      <c r="AC30" s="5"/>
      <c r="AD30" s="5"/>
      <c r="AE30" s="5" t="s">
        <v>778</v>
      </c>
      <c r="AF30" s="5"/>
      <c r="AG30" s="5"/>
      <c r="AH30" s="5"/>
      <c r="AI30" s="3"/>
      <c r="AJ30" s="3"/>
    </row>
    <row r="31" spans="1:36" ht="14.1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3"/>
      <c r="AJ31" s="3"/>
    </row>
    <row r="32" spans="1:36" ht="14.1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5" t="s">
        <v>709</v>
      </c>
      <c r="T32" s="5"/>
      <c r="U32" s="5"/>
      <c r="V32" s="5"/>
      <c r="W32" s="5" t="s">
        <v>92</v>
      </c>
      <c r="X32" s="5"/>
      <c r="Y32" s="5"/>
      <c r="Z32" s="5"/>
      <c r="AA32" s="5"/>
      <c r="AB32" s="5"/>
      <c r="AC32" s="5"/>
      <c r="AD32" s="5"/>
      <c r="AE32" s="5" t="s">
        <v>712</v>
      </c>
      <c r="AF32" s="5"/>
      <c r="AG32" s="5"/>
      <c r="AH32" s="5"/>
      <c r="AI32" s="3"/>
      <c r="AJ32" s="3"/>
    </row>
    <row r="33" spans="1:36" ht="14.1" customHeight="1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5" t="s">
        <v>399</v>
      </c>
      <c r="T33" s="5"/>
      <c r="U33" s="5"/>
      <c r="V33" s="5"/>
      <c r="W33" s="5">
        <v>0.12785589398373307</v>
      </c>
      <c r="X33" s="5"/>
      <c r="Y33" s="5"/>
      <c r="Z33" s="5"/>
      <c r="AA33" s="5" t="s">
        <v>227</v>
      </c>
      <c r="AB33" s="5"/>
      <c r="AC33" s="5"/>
      <c r="AD33" s="5"/>
      <c r="AE33" s="5" t="s">
        <v>713</v>
      </c>
      <c r="AF33" s="5"/>
      <c r="AG33" s="5"/>
      <c r="AH33" s="5"/>
      <c r="AI33" s="3"/>
      <c r="AJ33" s="3"/>
    </row>
    <row r="34" spans="1:36" ht="14.1" customHeight="1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5" t="s">
        <v>710</v>
      </c>
      <c r="T34" s="5"/>
      <c r="U34" s="5"/>
      <c r="V34" s="5"/>
      <c r="W34" s="5">
        <v>0.3</v>
      </c>
      <c r="X34" s="5"/>
      <c r="Y34" s="5"/>
      <c r="Z34" s="5"/>
      <c r="AA34" s="5" t="s">
        <v>227</v>
      </c>
      <c r="AB34" s="5"/>
      <c r="AC34" s="5"/>
      <c r="AD34" s="5"/>
      <c r="AE34" s="5" t="s">
        <v>779</v>
      </c>
      <c r="AF34" s="5"/>
      <c r="AG34" s="5"/>
      <c r="AH34" s="5"/>
      <c r="AI34" s="3"/>
      <c r="AJ34" s="3"/>
    </row>
    <row r="35" spans="1:36" ht="14.1" customHeight="1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5" t="s">
        <v>711</v>
      </c>
      <c r="T35" s="5"/>
      <c r="U35" s="5"/>
      <c r="V35" s="5"/>
      <c r="W35" s="5">
        <v>6.3927946991866537E-4</v>
      </c>
      <c r="X35" s="5"/>
      <c r="Y35" s="5"/>
      <c r="Z35" s="5"/>
      <c r="AA35" s="5"/>
      <c r="AB35" s="5"/>
      <c r="AC35" s="5"/>
      <c r="AD35" s="5"/>
      <c r="AE35" s="5" t="s">
        <v>780</v>
      </c>
      <c r="AF35" s="5"/>
      <c r="AG35" s="5"/>
      <c r="AH35" s="5"/>
      <c r="AI35" s="3"/>
      <c r="AJ35" s="3"/>
    </row>
    <row r="36" spans="1:36" ht="14.1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14" t="s">
        <v>21</v>
      </c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</row>
    <row r="37" spans="1:36" ht="14.1" customHeight="1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</row>
    <row r="38" spans="1:36" ht="14.1" customHeight="1" x14ac:dyDescent="0.25">
      <c r="A38" s="13" t="s">
        <v>0</v>
      </c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</row>
    <row r="39" spans="1:36" ht="14.1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</row>
    <row r="40" spans="1:36" ht="14.1" customHeight="1" x14ac:dyDescent="0.25">
      <c r="A40" s="6" t="s">
        <v>1</v>
      </c>
      <c r="B40" s="6" t="str">
        <f>"N, "&amp;INDEX(rngUnitSettings,MATCH("Force",INDEX(rngUnitSettings,,1),0),2)</f>
        <v>N, tf</v>
      </c>
      <c r="C40" s="6" t="str">
        <f>"Mx, "&amp;INDEX(rngUnitSettings,MATCH("Moment",INDEX(rngUnitSettings,,1),0),2)</f>
        <v>Mx, tf*m</v>
      </c>
      <c r="D40" s="6" t="str">
        <f>"My, "&amp;INDEX(rngUnitSettings,MATCH("Moment",INDEX(rngUnitSettings,,1),0),2)</f>
        <v>My, tf*m</v>
      </c>
      <c r="E40" s="6" t="s">
        <v>5</v>
      </c>
      <c r="F40" s="6" t="s">
        <v>6</v>
      </c>
      <c r="G40" s="6" t="s">
        <v>7</v>
      </c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</row>
    <row r="41" spans="1:36" ht="14.1" customHeight="1" x14ac:dyDescent="0.25">
      <c r="A41" s="5">
        <v>1</v>
      </c>
      <c r="B41" s="5">
        <v>100</v>
      </c>
      <c r="C41" s="5">
        <v>50</v>
      </c>
      <c r="D41" s="5"/>
      <c r="E41" s="5"/>
      <c r="F41" s="5"/>
      <c r="G41" s="5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</row>
    <row r="42" spans="1:36" ht="14.1" customHeight="1" x14ac:dyDescent="0.25">
      <c r="A42" s="5"/>
      <c r="B42" s="5"/>
      <c r="C42" s="5"/>
      <c r="D42" s="5"/>
      <c r="E42" s="5"/>
      <c r="F42" s="5"/>
      <c r="G42" s="5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</row>
    <row r="43" spans="1:36" ht="14.1" customHeight="1" x14ac:dyDescent="0.25">
      <c r="A43" s="5"/>
      <c r="B43" s="5"/>
      <c r="C43" s="5"/>
      <c r="D43" s="5"/>
      <c r="E43" s="5"/>
      <c r="F43" s="5"/>
      <c r="G43" s="5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</row>
    <row r="44" spans="1:36" ht="14.1" customHeight="1" x14ac:dyDescent="0.25">
      <c r="A44" s="5"/>
      <c r="B44" s="5"/>
      <c r="C44" s="5"/>
      <c r="D44" s="5"/>
      <c r="E44" s="5"/>
      <c r="F44" s="5"/>
      <c r="G44" s="5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</row>
    <row r="45" spans="1:36" ht="14.1" customHeight="1" x14ac:dyDescent="0.25">
      <c r="A45" s="5"/>
      <c r="B45" s="5"/>
      <c r="C45" s="5"/>
      <c r="D45" s="5"/>
      <c r="E45" s="5"/>
      <c r="F45" s="5"/>
      <c r="G45" s="5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</row>
    <row r="46" spans="1:36" ht="14.1" customHeight="1" x14ac:dyDescent="0.25">
      <c r="A46" s="5"/>
      <c r="B46" s="5"/>
      <c r="C46" s="5"/>
      <c r="D46" s="5"/>
      <c r="E46" s="5"/>
      <c r="F46" s="5"/>
      <c r="G46" s="5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</row>
    <row r="47" spans="1:36" ht="14.1" customHeight="1" x14ac:dyDescent="0.25">
      <c r="A47" s="5"/>
      <c r="B47" s="5"/>
      <c r="C47" s="5"/>
      <c r="D47" s="5"/>
      <c r="E47" s="5"/>
      <c r="F47" s="5"/>
      <c r="G47" s="5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</row>
    <row r="48" spans="1:36" ht="14.1" customHeight="1" x14ac:dyDescent="0.25">
      <c r="A48" s="5"/>
      <c r="B48" s="5"/>
      <c r="C48" s="5"/>
      <c r="D48" s="5"/>
      <c r="E48" s="5"/>
      <c r="F48" s="5"/>
      <c r="G48" s="5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</row>
    <row r="49" spans="1:36" ht="14.1" customHeight="1" x14ac:dyDescent="0.25">
      <c r="A49" s="5"/>
      <c r="B49" s="5"/>
      <c r="C49" s="5"/>
      <c r="D49" s="5"/>
      <c r="E49" s="5"/>
      <c r="F49" s="5"/>
      <c r="G49" s="5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</row>
    <row r="50" spans="1:36" ht="14.1" customHeight="1" x14ac:dyDescent="0.25">
      <c r="A50" s="5"/>
      <c r="B50" s="5"/>
      <c r="C50" s="5"/>
      <c r="D50" s="5"/>
      <c r="E50" s="5"/>
      <c r="F50" s="5"/>
      <c r="G50" s="5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</row>
    <row r="51" spans="1:36" x14ac:dyDescent="0.25">
      <c r="A51" s="5"/>
      <c r="B51" s="5"/>
      <c r="C51" s="5"/>
      <c r="D51" s="5"/>
      <c r="E51" s="5"/>
      <c r="F51" s="5"/>
      <c r="G51" s="5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</row>
    <row r="52" spans="1:36" x14ac:dyDescent="0.25">
      <c r="A52" s="5"/>
      <c r="B52" s="5"/>
      <c r="C52" s="5"/>
      <c r="D52" s="5"/>
      <c r="E52" s="5"/>
      <c r="F52" s="5"/>
      <c r="G52" s="5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</row>
    <row r="53" spans="1:36" x14ac:dyDescent="0.25">
      <c r="A53" s="5"/>
      <c r="B53" s="5"/>
      <c r="C53" s="5"/>
      <c r="D53" s="5"/>
      <c r="E53" s="5"/>
      <c r="F53" s="5"/>
      <c r="G53" s="5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</row>
    <row r="54" spans="1:36" x14ac:dyDescent="0.25">
      <c r="A54" s="5"/>
      <c r="B54" s="5"/>
      <c r="C54" s="5"/>
      <c r="D54" s="5"/>
      <c r="E54" s="5"/>
      <c r="F54" s="5"/>
      <c r="G54" s="5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</row>
    <row r="55" spans="1:36" x14ac:dyDescent="0.25">
      <c r="A55" s="5"/>
      <c r="B55" s="5"/>
      <c r="C55" s="5"/>
      <c r="D55" s="5"/>
      <c r="E55" s="5"/>
      <c r="F55" s="5"/>
      <c r="G55" s="5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</row>
    <row r="56" spans="1:36" x14ac:dyDescent="0.25">
      <c r="A56" s="5"/>
      <c r="B56" s="5"/>
      <c r="C56" s="5"/>
      <c r="D56" s="5"/>
      <c r="E56" s="5"/>
      <c r="F56" s="5"/>
      <c r="G56" s="5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</row>
    <row r="57" spans="1:36" x14ac:dyDescent="0.25">
      <c r="A57" s="5"/>
      <c r="B57" s="5"/>
      <c r="C57" s="5"/>
      <c r="D57" s="5"/>
      <c r="E57" s="5"/>
      <c r="F57" s="5"/>
      <c r="G57" s="5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</row>
    <row r="58" spans="1:36" x14ac:dyDescent="0.25">
      <c r="A58" s="5"/>
      <c r="B58" s="5"/>
      <c r="C58" s="5"/>
      <c r="D58" s="5"/>
      <c r="E58" s="5"/>
      <c r="F58" s="5"/>
      <c r="G58" s="5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</row>
    <row r="59" spans="1:36" x14ac:dyDescent="0.25">
      <c r="A59" s="5"/>
      <c r="B59" s="5"/>
      <c r="C59" s="5"/>
      <c r="D59" s="5"/>
      <c r="E59" s="5"/>
      <c r="F59" s="5"/>
      <c r="G59" s="5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</row>
    <row r="60" spans="1:36" x14ac:dyDescent="0.25">
      <c r="A60" s="5"/>
      <c r="B60" s="5"/>
      <c r="C60" s="5"/>
      <c r="D60" s="5"/>
      <c r="E60" s="5"/>
      <c r="F60" s="5"/>
      <c r="G60" s="5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</row>
  </sheetData>
  <mergeCells count="6">
    <mergeCell ref="A1:R2"/>
    <mergeCell ref="A38:R38"/>
    <mergeCell ref="S1:AJ2"/>
    <mergeCell ref="S4:AJ4"/>
    <mergeCell ref="S16:AJ16"/>
    <mergeCell ref="S36:AJ36"/>
  </mergeCell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04F0C-6836-4560-9AC6-D4611F95D83E}">
  <sheetPr codeName="Лист2"/>
  <dimension ref="A1:DK260"/>
  <sheetViews>
    <sheetView workbookViewId="0">
      <selection activeCell="B8" sqref="B8"/>
    </sheetView>
  </sheetViews>
  <sheetFormatPr defaultRowHeight="15" x14ac:dyDescent="0.25"/>
  <cols>
    <col min="1" max="1" width="32.7109375" customWidth="1"/>
    <col min="2" max="2" width="18.7109375" customWidth="1"/>
    <col min="3" max="3" width="22.7109375" customWidth="1"/>
    <col min="4" max="4" width="14.7109375" customWidth="1"/>
    <col min="5" max="5" width="48.7109375" customWidth="1"/>
    <col min="6" max="6" width="34.7109375" customWidth="1"/>
    <col min="7" max="7" width="22.7109375" customWidth="1"/>
    <col min="14" max="14" width="14.7109375" customWidth="1"/>
    <col min="15" max="17" width="16.7109375" customWidth="1"/>
    <col min="70" max="115" width="0" hidden="1" customWidth="1"/>
  </cols>
  <sheetData>
    <row r="1" spans="1:115" x14ac:dyDescent="0.25">
      <c r="A1" s="7" t="s">
        <v>22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 t="s">
        <v>311</v>
      </c>
      <c r="BI1" s="2" t="s">
        <v>311</v>
      </c>
      <c r="BJ1" s="2"/>
      <c r="BK1" s="2"/>
      <c r="BL1" s="2"/>
      <c r="BM1" s="2"/>
      <c r="BN1" s="2"/>
      <c r="BO1" s="2"/>
      <c r="BP1" s="2"/>
      <c r="BQ1" s="2"/>
      <c r="BR1" s="2" t="s">
        <v>227</v>
      </c>
      <c r="BS1" s="2" t="s">
        <v>229</v>
      </c>
      <c r="BT1" s="2" t="s">
        <v>2</v>
      </c>
      <c r="BU1" s="2" t="s">
        <v>234</v>
      </c>
      <c r="BV1" s="2" t="s">
        <v>244</v>
      </c>
      <c r="BW1" s="2" t="s">
        <v>237</v>
      </c>
      <c r="BX1" s="2" t="s">
        <v>253</v>
      </c>
      <c r="BY1" s="2" t="s">
        <v>255</v>
      </c>
      <c r="BZ1" s="2" t="s">
        <v>257</v>
      </c>
      <c r="CA1" s="2"/>
      <c r="CB1" s="2" t="s">
        <v>26</v>
      </c>
      <c r="CC1" s="2" t="s">
        <v>370</v>
      </c>
      <c r="CD1" s="2" t="s">
        <v>56</v>
      </c>
      <c r="CE1" s="2" t="s">
        <v>373</v>
      </c>
      <c r="CF1" s="2" t="s">
        <v>79</v>
      </c>
      <c r="CG1" s="2" t="s">
        <v>375</v>
      </c>
      <c r="CH1" s="2" t="s">
        <v>111</v>
      </c>
      <c r="CI1" s="2" t="s">
        <v>92</v>
      </c>
      <c r="CJ1" s="2" t="s">
        <v>92</v>
      </c>
      <c r="CK1" s="2" t="s">
        <v>149</v>
      </c>
      <c r="CL1" s="2" t="s">
        <v>377</v>
      </c>
      <c r="CM1" s="2" t="s">
        <v>92</v>
      </c>
      <c r="CN1" s="2" t="s">
        <v>92</v>
      </c>
      <c r="CO1" s="2" t="s">
        <v>92</v>
      </c>
      <c r="CP1" s="2" t="s">
        <v>92</v>
      </c>
      <c r="CQ1" s="2" t="s">
        <v>92</v>
      </c>
      <c r="CR1" s="2" t="s">
        <v>149</v>
      </c>
      <c r="CS1" s="2" t="s">
        <v>92</v>
      </c>
      <c r="CT1" s="2" t="s">
        <v>92</v>
      </c>
      <c r="CU1" s="2" t="s">
        <v>92</v>
      </c>
      <c r="CV1" s="2" t="s">
        <v>92</v>
      </c>
      <c r="CW1" s="2" t="s">
        <v>92</v>
      </c>
      <c r="CX1" s="2" t="s">
        <v>92</v>
      </c>
      <c r="CY1" s="2" t="s">
        <v>92</v>
      </c>
      <c r="CZ1" s="2" t="s">
        <v>140</v>
      </c>
      <c r="DA1" s="2"/>
      <c r="DB1" s="2"/>
      <c r="DC1" s="2"/>
      <c r="DD1" s="2"/>
      <c r="DE1" s="2"/>
      <c r="DF1" s="2" t="s">
        <v>92</v>
      </c>
      <c r="DG1" s="2" t="s">
        <v>267</v>
      </c>
      <c r="DH1" s="2" t="s">
        <v>284</v>
      </c>
      <c r="DI1" s="2" t="s">
        <v>379</v>
      </c>
      <c r="DJ1" s="2"/>
      <c r="DK1" s="2"/>
    </row>
    <row r="2" spans="1:115" x14ac:dyDescent="0.25">
      <c r="A2" s="2"/>
      <c r="B2" s="2"/>
      <c r="C2" s="2"/>
      <c r="D2" s="2"/>
      <c r="E2" s="2"/>
      <c r="F2" s="16" t="s">
        <v>217</v>
      </c>
      <c r="G2" s="17"/>
      <c r="H2" s="17"/>
      <c r="I2" s="2"/>
      <c r="J2" s="16" t="s">
        <v>220</v>
      </c>
      <c r="K2" s="17"/>
      <c r="L2" s="17"/>
      <c r="M2" s="2"/>
      <c r="N2" s="16" t="s">
        <v>221</v>
      </c>
      <c r="O2" s="17"/>
      <c r="P2" s="17"/>
      <c r="Q2" s="17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 t="s">
        <v>315</v>
      </c>
      <c r="BI2" s="2" t="s">
        <v>315</v>
      </c>
      <c r="BJ2" s="2"/>
      <c r="BK2" s="2"/>
      <c r="BL2" s="2"/>
      <c r="BM2" s="2"/>
      <c r="BN2" s="2"/>
      <c r="BO2" s="2"/>
      <c r="BP2" s="2"/>
      <c r="BQ2" s="2"/>
      <c r="BR2" s="2" t="s">
        <v>238</v>
      </c>
      <c r="BS2" s="2" t="s">
        <v>240</v>
      </c>
      <c r="BT2" s="2" t="s">
        <v>242</v>
      </c>
      <c r="BU2" s="2" t="s">
        <v>243</v>
      </c>
      <c r="BV2" s="2" t="s">
        <v>245</v>
      </c>
      <c r="BW2" s="2" t="s">
        <v>248</v>
      </c>
      <c r="BX2" s="2" t="s">
        <v>252</v>
      </c>
      <c r="BY2" s="2" t="s">
        <v>258</v>
      </c>
      <c r="BZ2" s="2" t="s">
        <v>259</v>
      </c>
      <c r="CA2" s="2"/>
      <c r="CB2" s="2" t="s">
        <v>369</v>
      </c>
      <c r="CC2" s="2" t="s">
        <v>371</v>
      </c>
      <c r="CD2" s="2" t="s">
        <v>372</v>
      </c>
      <c r="CE2" s="2" t="s">
        <v>76</v>
      </c>
      <c r="CF2" s="2" t="s">
        <v>374</v>
      </c>
      <c r="CG2" s="2" t="s">
        <v>108</v>
      </c>
      <c r="CH2" s="2" t="s">
        <v>376</v>
      </c>
      <c r="CI2" s="2" t="s">
        <v>201</v>
      </c>
      <c r="CJ2" s="2" t="s">
        <v>201</v>
      </c>
      <c r="CK2" s="2" t="s">
        <v>219</v>
      </c>
      <c r="CL2" s="2" t="s">
        <v>152</v>
      </c>
      <c r="CM2" s="2" t="s">
        <v>201</v>
      </c>
      <c r="CN2" s="2" t="s">
        <v>201</v>
      </c>
      <c r="CO2" s="2" t="s">
        <v>201</v>
      </c>
      <c r="CP2" s="2" t="s">
        <v>201</v>
      </c>
      <c r="CQ2" s="2" t="s">
        <v>201</v>
      </c>
      <c r="CR2" s="2" t="s">
        <v>219</v>
      </c>
      <c r="CS2" s="2" t="s">
        <v>201</v>
      </c>
      <c r="CT2" s="2" t="s">
        <v>201</v>
      </c>
      <c r="CU2" s="2" t="s">
        <v>201</v>
      </c>
      <c r="CV2" s="2" t="s">
        <v>201</v>
      </c>
      <c r="CW2" s="2" t="s">
        <v>201</v>
      </c>
      <c r="CX2" s="2" t="s">
        <v>201</v>
      </c>
      <c r="CY2" s="2" t="s">
        <v>201</v>
      </c>
      <c r="CZ2" s="2">
        <f>IF(INDEX(rngLoadCombinations,2,1)="","",INDEX(rngLoadCombinations,2,1))</f>
        <v>1</v>
      </c>
      <c r="DA2" s="2"/>
      <c r="DB2" s="2"/>
      <c r="DC2" s="2"/>
      <c r="DD2" s="2"/>
      <c r="DE2" s="2"/>
      <c r="DF2" s="2" t="s">
        <v>201</v>
      </c>
      <c r="DG2" s="2" t="s">
        <v>378</v>
      </c>
      <c r="DH2" s="2" t="s">
        <v>381</v>
      </c>
      <c r="DI2" s="2" t="s">
        <v>380</v>
      </c>
      <c r="DJ2" s="2"/>
      <c r="DK2" s="2"/>
    </row>
    <row r="3" spans="1:115" x14ac:dyDescent="0.25">
      <c r="A3" s="8" t="s">
        <v>23</v>
      </c>
      <c r="B3" s="8" t="s">
        <v>18</v>
      </c>
      <c r="C3" s="8" t="s">
        <v>19</v>
      </c>
      <c r="D3" s="8" t="s">
        <v>20</v>
      </c>
      <c r="E3" s="2"/>
      <c r="F3" s="8" t="s">
        <v>218</v>
      </c>
      <c r="G3" s="8" t="s">
        <v>219</v>
      </c>
      <c r="H3" s="8" t="str">
        <f>"Stress, "&amp;INDEX(rngUnitSettings,MATCH("Stress",INDEX(rngUnitSettings,,1),0),2)</f>
        <v>Stress, MPa</v>
      </c>
      <c r="I3" s="2"/>
      <c r="J3" s="8" t="s">
        <v>218</v>
      </c>
      <c r="K3" s="8" t="s">
        <v>219</v>
      </c>
      <c r="L3" s="8" t="str">
        <f>"Stress, "&amp;INDEX(rngUnitSettings,MATCH("Stress",INDEX(rngUnitSettings,,1),0),2)</f>
        <v>Stress, MPa</v>
      </c>
      <c r="M3" s="2"/>
      <c r="N3" s="8" t="s">
        <v>222</v>
      </c>
      <c r="O3" s="8" t="s">
        <v>223</v>
      </c>
      <c r="P3" s="8" t="s">
        <v>224</v>
      </c>
      <c r="Q3" s="8" t="s">
        <v>225</v>
      </c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 t="s">
        <v>239</v>
      </c>
      <c r="BS3" s="2" t="s">
        <v>241</v>
      </c>
      <c r="BT3" s="2" t="s">
        <v>231</v>
      </c>
      <c r="BU3" s="2" t="s">
        <v>233</v>
      </c>
      <c r="BV3" s="2" t="s">
        <v>235</v>
      </c>
      <c r="BW3" s="2"/>
      <c r="BX3" s="2"/>
      <c r="BY3" s="2"/>
      <c r="BZ3" s="2"/>
      <c r="CA3" s="2"/>
      <c r="CB3" s="2"/>
      <c r="CC3" s="2" t="s">
        <v>29</v>
      </c>
      <c r="CD3" s="2"/>
      <c r="CE3" s="2"/>
      <c r="CF3" s="2"/>
      <c r="CG3" s="2"/>
      <c r="CH3" s="2" t="s">
        <v>374</v>
      </c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 t="str">
        <f>IF(INDEX(rngLoadCombinations,3,1)="","",INDEX(rngLoadCombinations,3,1))</f>
        <v/>
      </c>
      <c r="DA3" s="2"/>
      <c r="DB3" s="2"/>
      <c r="DC3" s="2"/>
      <c r="DD3" s="2"/>
      <c r="DE3" s="2"/>
      <c r="DF3" s="2"/>
      <c r="DG3" s="2"/>
      <c r="DH3" s="2" t="s">
        <v>382</v>
      </c>
      <c r="DI3" s="2" t="s">
        <v>287</v>
      </c>
      <c r="DJ3" s="2"/>
      <c r="DK3" s="2"/>
    </row>
    <row r="4" spans="1:115" x14ac:dyDescent="0.25">
      <c r="A4" s="9" t="s">
        <v>24</v>
      </c>
      <c r="B4" s="9"/>
      <c r="C4" s="9"/>
      <c r="D4" s="9"/>
      <c r="E4" s="2"/>
      <c r="F4" s="2">
        <v>1</v>
      </c>
      <c r="G4" s="2">
        <v>1E-4</v>
      </c>
      <c r="H4" s="2">
        <v>1.8</v>
      </c>
      <c r="I4" s="2"/>
      <c r="J4" s="2">
        <v>1</v>
      </c>
      <c r="K4" s="2">
        <v>-2.5000000000000001E-2</v>
      </c>
      <c r="L4" s="2">
        <v>-350</v>
      </c>
      <c r="M4" s="2"/>
      <c r="N4" s="2" t="s">
        <v>226</v>
      </c>
      <c r="O4" s="2" t="s">
        <v>227</v>
      </c>
      <c r="P4" s="10" t="s">
        <v>227</v>
      </c>
      <c r="Q4" s="2" t="s">
        <v>227</v>
      </c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 t="s">
        <v>246</v>
      </c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 t="str">
        <f>IF(INDEX(rngLoadCombinations,4,1)="","",INDEX(rngLoadCombinations,4,1))</f>
        <v/>
      </c>
      <c r="DA4" s="2"/>
      <c r="DB4" s="2"/>
      <c r="DC4" s="2"/>
      <c r="DD4" s="2"/>
      <c r="DE4" s="2"/>
      <c r="DF4" s="2"/>
      <c r="DG4" s="2"/>
      <c r="DH4" s="2" t="s">
        <v>383</v>
      </c>
      <c r="DI4" s="2"/>
      <c r="DJ4" s="2"/>
      <c r="DK4" s="2"/>
    </row>
    <row r="5" spans="1:115" x14ac:dyDescent="0.25">
      <c r="A5" s="2" t="s">
        <v>25</v>
      </c>
      <c r="B5" s="2" t="s">
        <v>26</v>
      </c>
      <c r="C5" s="2"/>
      <c r="D5" s="2" t="s">
        <v>27</v>
      </c>
      <c r="E5" s="2"/>
      <c r="F5" s="2">
        <v>2</v>
      </c>
      <c r="G5" s="2">
        <v>0</v>
      </c>
      <c r="H5" s="2">
        <v>0</v>
      </c>
      <c r="I5" s="2"/>
      <c r="J5" s="2">
        <v>2</v>
      </c>
      <c r="K5" s="2">
        <v>-0.01</v>
      </c>
      <c r="L5" s="2">
        <v>-350</v>
      </c>
      <c r="M5" s="2"/>
      <c r="N5" s="2" t="s">
        <v>228</v>
      </c>
      <c r="O5" s="2" t="s">
        <v>229</v>
      </c>
      <c r="P5" s="10" t="s">
        <v>229</v>
      </c>
      <c r="Q5" s="2" t="s">
        <v>229</v>
      </c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 t="s">
        <v>247</v>
      </c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 t="str">
        <f>IF(INDEX(rngLoadCombinations,5,1)="","",INDEX(rngLoadCombinations,5,1))</f>
        <v/>
      </c>
      <c r="DA5" s="2"/>
      <c r="DB5" s="2"/>
      <c r="DC5" s="2"/>
      <c r="DD5" s="2"/>
      <c r="DE5" s="2"/>
      <c r="DF5" s="2"/>
      <c r="DG5" s="2"/>
      <c r="DH5" s="2" t="s">
        <v>384</v>
      </c>
      <c r="DI5" s="2"/>
      <c r="DJ5" s="2"/>
      <c r="DK5" s="2"/>
    </row>
    <row r="6" spans="1:115" x14ac:dyDescent="0.25">
      <c r="A6" s="2" t="s">
        <v>28</v>
      </c>
      <c r="B6" s="2" t="s">
        <v>29</v>
      </c>
      <c r="C6" s="2"/>
      <c r="D6" s="2" t="s">
        <v>30</v>
      </c>
      <c r="E6" s="2"/>
      <c r="F6" s="2">
        <v>3</v>
      </c>
      <c r="G6" s="2">
        <v>-1.5E-3</v>
      </c>
      <c r="H6" s="2">
        <v>-15.5</v>
      </c>
      <c r="I6" s="2"/>
      <c r="J6" s="2">
        <v>3</v>
      </c>
      <c r="K6" s="2">
        <v>-1.75E-3</v>
      </c>
      <c r="L6" s="2">
        <v>-350</v>
      </c>
      <c r="M6" s="2"/>
      <c r="N6" s="2" t="s">
        <v>230</v>
      </c>
      <c r="O6" s="2" t="s">
        <v>231</v>
      </c>
      <c r="P6" s="10" t="s">
        <v>2</v>
      </c>
      <c r="Q6" s="2" t="s">
        <v>231</v>
      </c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 t="str">
        <f>IF(INDEX(rngLoadCombinations,6,1)="","",INDEX(rngLoadCombinations,6,1))</f>
        <v/>
      </c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</row>
    <row r="7" spans="1:115" x14ac:dyDescent="0.25">
      <c r="A7" s="2" t="s">
        <v>31</v>
      </c>
      <c r="B7" s="2">
        <v>40</v>
      </c>
      <c r="C7" s="2" t="str">
        <f>INDEX(rngUnitSettings,MATCH("Length",INDEX(rngUnitSettings,,1),0),2)</f>
        <v>mm</v>
      </c>
      <c r="D7" s="2" t="s">
        <v>33</v>
      </c>
      <c r="E7" s="2"/>
      <c r="F7" s="2">
        <v>4</v>
      </c>
      <c r="G7" s="2">
        <v>-2E-3</v>
      </c>
      <c r="H7" s="2">
        <v>-15.5</v>
      </c>
      <c r="I7" s="2"/>
      <c r="J7" s="2">
        <v>4</v>
      </c>
      <c r="K7" s="2">
        <v>0</v>
      </c>
      <c r="L7" s="2">
        <v>0</v>
      </c>
      <c r="M7" s="2"/>
      <c r="N7" s="2" t="s">
        <v>232</v>
      </c>
      <c r="O7" s="2" t="s">
        <v>233</v>
      </c>
      <c r="P7" s="10" t="s">
        <v>234</v>
      </c>
      <c r="Q7" s="2" t="s">
        <v>233</v>
      </c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 t="str">
        <f>IF(INDEX(rngLoadCombinations,7,1)="","",INDEX(rngLoadCombinations,7,1))</f>
        <v/>
      </c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</row>
    <row r="8" spans="1:115" x14ac:dyDescent="0.25">
      <c r="A8" s="2" t="s">
        <v>34</v>
      </c>
      <c r="B8" s="2">
        <v>1</v>
      </c>
      <c r="C8" s="2" t="s">
        <v>35</v>
      </c>
      <c r="D8" s="2" t="s">
        <v>36</v>
      </c>
      <c r="E8" s="2"/>
      <c r="F8" s="2">
        <v>5</v>
      </c>
      <c r="G8" s="2">
        <v>-3.5000000000000001E-3</v>
      </c>
      <c r="H8" s="2">
        <v>-15.5</v>
      </c>
      <c r="I8" s="2"/>
      <c r="J8" s="2">
        <v>5</v>
      </c>
      <c r="K8" s="2">
        <v>1.75E-3</v>
      </c>
      <c r="L8" s="2">
        <v>350</v>
      </c>
      <c r="M8" s="2"/>
      <c r="N8" s="2" t="s">
        <v>149</v>
      </c>
      <c r="O8" s="2" t="s">
        <v>235</v>
      </c>
      <c r="P8" s="10" t="s">
        <v>235</v>
      </c>
      <c r="Q8" s="2" t="s">
        <v>235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 t="str">
        <f>IF(INDEX(rngLoadCombinations,8,1)="","",INDEX(rngLoadCombinations,8,1))</f>
        <v/>
      </c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</row>
    <row r="9" spans="1:115" x14ac:dyDescent="0.25">
      <c r="A9" s="2" t="s">
        <v>37</v>
      </c>
      <c r="B9" s="2">
        <v>0</v>
      </c>
      <c r="C9" s="2" t="str">
        <f>INDEX(rngUnitSettings,MATCH("Length",INDEX(rngUnitSettings,,1),0),2)</f>
        <v>mm</v>
      </c>
      <c r="D9" s="2" t="s">
        <v>38</v>
      </c>
      <c r="E9" s="2"/>
      <c r="F9" s="2"/>
      <c r="G9" s="2"/>
      <c r="H9" s="2"/>
      <c r="I9" s="2"/>
      <c r="J9" s="2">
        <v>6</v>
      </c>
      <c r="K9" s="2">
        <v>0.01</v>
      </c>
      <c r="L9" s="2">
        <v>350</v>
      </c>
      <c r="M9" s="2"/>
      <c r="N9" s="2" t="s">
        <v>236</v>
      </c>
      <c r="O9" s="2" t="s">
        <v>237</v>
      </c>
      <c r="P9" s="10" t="s">
        <v>237</v>
      </c>
      <c r="Q9" s="2" t="s">
        <v>237</v>
      </c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 t="str">
        <f>IF(INDEX(rngLoadCombinations,9,1)="","",INDEX(rngLoadCombinations,9,1))</f>
        <v/>
      </c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</row>
    <row r="10" spans="1:115" x14ac:dyDescent="0.25">
      <c r="A10" s="2" t="s">
        <v>39</v>
      </c>
      <c r="B10" s="2">
        <v>0</v>
      </c>
      <c r="C10" s="2" t="str">
        <f>INDEX(rngUnitSettings,MATCH("Length",INDEX(rngUnitSettings,,1),0),2)</f>
        <v>mm</v>
      </c>
      <c r="D10" s="2" t="s">
        <v>40</v>
      </c>
      <c r="E10" s="2"/>
      <c r="F10" s="2"/>
      <c r="G10" s="2"/>
      <c r="H10" s="2"/>
      <c r="I10" s="2"/>
      <c r="J10" s="2">
        <v>7</v>
      </c>
      <c r="K10" s="2">
        <v>2.5000000000000001E-2</v>
      </c>
      <c r="L10" s="2">
        <v>350</v>
      </c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 t="str">
        <f>IF(INDEX(rngLoadCombinations,10,1)="","",INDEX(rngLoadCombinations,10,1))</f>
        <v/>
      </c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</row>
    <row r="11" spans="1:115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 t="str">
        <f>IF(INDEX(rngLoadCombinations,11,1)="","",INDEX(rngLoadCombinations,11,1))</f>
        <v/>
      </c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</row>
    <row r="12" spans="1:115" x14ac:dyDescent="0.25">
      <c r="A12" s="9" t="s">
        <v>41</v>
      </c>
      <c r="B12" s="9"/>
      <c r="C12" s="9"/>
      <c r="D12" s="9"/>
      <c r="E12" s="2"/>
      <c r="F12" s="2"/>
      <c r="G12" s="2"/>
      <c r="H12" s="2"/>
      <c r="I12" s="2"/>
      <c r="J12" s="2"/>
      <c r="K12" s="2"/>
      <c r="L12" s="2"/>
      <c r="M12" s="2"/>
      <c r="N12" s="16" t="s">
        <v>249</v>
      </c>
      <c r="O12" s="17"/>
      <c r="P12" s="17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 t="str">
        <f>IF(INDEX(rngLoadCombinations,12,1)="","",INDEX(rngLoadCombinations,12,1))</f>
        <v/>
      </c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</row>
    <row r="13" spans="1:115" x14ac:dyDescent="0.25">
      <c r="A13" s="2" t="s">
        <v>42</v>
      </c>
      <c r="B13" s="2" t="s">
        <v>43</v>
      </c>
      <c r="C13" s="2"/>
      <c r="D13" s="2" t="s">
        <v>44</v>
      </c>
      <c r="E13" s="2"/>
      <c r="F13" s="2"/>
      <c r="G13" s="2"/>
      <c r="H13" s="2"/>
      <c r="I13" s="2"/>
      <c r="J13" s="2"/>
      <c r="K13" s="2"/>
      <c r="L13" s="2"/>
      <c r="M13" s="2"/>
      <c r="N13" s="8" t="s">
        <v>222</v>
      </c>
      <c r="O13" s="8" t="s">
        <v>250</v>
      </c>
      <c r="P13" s="8" t="s">
        <v>224</v>
      </c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 t="str">
        <f>IF(INDEX(rngLoadCombinations,13,1)="","",INDEX(rngLoadCombinations,13,1))</f>
        <v/>
      </c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</row>
    <row r="14" spans="1:115" x14ac:dyDescent="0.25">
      <c r="A14" s="2" t="s">
        <v>45</v>
      </c>
      <c r="B14" s="2">
        <v>15.5</v>
      </c>
      <c r="C14" s="2" t="str">
        <f>INDEX(rngUnitSettings,MATCH("Stress",INDEX(rngUnitSettings,,1),0),2)</f>
        <v>MPa</v>
      </c>
      <c r="D14" s="2" t="s">
        <v>46</v>
      </c>
      <c r="E14" s="2"/>
      <c r="F14" s="2"/>
      <c r="G14" s="2"/>
      <c r="H14" s="2"/>
      <c r="I14" s="2"/>
      <c r="J14" s="2"/>
      <c r="K14" s="2"/>
      <c r="L14" s="2"/>
      <c r="M14" s="2"/>
      <c r="N14" s="2" t="s">
        <v>251</v>
      </c>
      <c r="O14" s="2" t="s">
        <v>252</v>
      </c>
      <c r="P14" s="10" t="s">
        <v>253</v>
      </c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 t="str">
        <f>IF(INDEX(rngLoadCombinations,14,1)="","",INDEX(rngLoadCombinations,14,1))</f>
        <v/>
      </c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</row>
    <row r="15" spans="1:115" x14ac:dyDescent="0.25">
      <c r="A15" s="2" t="s">
        <v>47</v>
      </c>
      <c r="B15" s="2">
        <v>1.1000000000000001</v>
      </c>
      <c r="C15" s="2" t="str">
        <f>INDEX(rngUnitSettings,MATCH("Stress",INDEX(rngUnitSettings,,1),0),2)</f>
        <v>MPa</v>
      </c>
      <c r="D15" s="2" t="s">
        <v>48</v>
      </c>
      <c r="E15" s="2"/>
      <c r="F15" s="16" t="s">
        <v>295</v>
      </c>
      <c r="G15" s="17"/>
      <c r="H15" s="17"/>
      <c r="I15" s="17"/>
      <c r="J15" s="16" t="s">
        <v>316</v>
      </c>
      <c r="K15" s="17"/>
      <c r="L15" s="17"/>
      <c r="M15" s="17"/>
      <c r="N15" s="2" t="s">
        <v>254</v>
      </c>
      <c r="O15" s="2" t="s">
        <v>255</v>
      </c>
      <c r="P15" s="10" t="s">
        <v>255</v>
      </c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 t="str">
        <f>IF(INDEX(rngLoadCombinations,15,1)="","",INDEX(rngLoadCombinations,15,1))</f>
        <v/>
      </c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</row>
    <row r="16" spans="1:115" x14ac:dyDescent="0.25">
      <c r="A16" s="2" t="s">
        <v>49</v>
      </c>
      <c r="B16" s="2">
        <v>22</v>
      </c>
      <c r="C16" s="2" t="str">
        <f>INDEX(rngUnitSettings,MATCH("Stress",INDEX(rngUnitSettings,,1),0),2)</f>
        <v>MPa</v>
      </c>
      <c r="D16" s="2" t="s">
        <v>50</v>
      </c>
      <c r="E16" s="2"/>
      <c r="F16" s="8" t="s">
        <v>23</v>
      </c>
      <c r="G16" s="8" t="s">
        <v>18</v>
      </c>
      <c r="H16" s="8" t="s">
        <v>19</v>
      </c>
      <c r="I16" s="8" t="s">
        <v>20</v>
      </c>
      <c r="J16" s="8" t="s">
        <v>23</v>
      </c>
      <c r="K16" s="8" t="s">
        <v>18</v>
      </c>
      <c r="L16" s="8" t="s">
        <v>19</v>
      </c>
      <c r="M16" s="8" t="s">
        <v>20</v>
      </c>
      <c r="N16" s="2" t="s">
        <v>256</v>
      </c>
      <c r="O16" s="2" t="s">
        <v>257</v>
      </c>
      <c r="P16" s="10" t="s">
        <v>257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 t="str">
        <f>IF(INDEX(rngLoadCombinations,16,1)="","",INDEX(rngLoadCombinations,16,1))</f>
        <v/>
      </c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</row>
    <row r="17" spans="1:115" x14ac:dyDescent="0.25">
      <c r="A17" s="2" t="s">
        <v>51</v>
      </c>
      <c r="B17" s="2">
        <v>1.8</v>
      </c>
      <c r="C17" s="2" t="str">
        <f>INDEX(rngUnitSettings,MATCH("Stress",INDEX(rngUnitSettings,,1),0),2)</f>
        <v>MPa</v>
      </c>
      <c r="D17" s="2" t="s">
        <v>52</v>
      </c>
      <c r="E17" s="2"/>
      <c r="F17" s="2" t="s">
        <v>296</v>
      </c>
      <c r="G17" s="2">
        <v>300</v>
      </c>
      <c r="H17" s="2" t="str">
        <f>INDEX(rngUnitSettings,MATCH("Length",INDEX(rngUnitSettings,,1),0),2)</f>
        <v>mm</v>
      </c>
      <c r="I17" s="2" t="s">
        <v>297</v>
      </c>
      <c r="J17" s="2" t="s">
        <v>317</v>
      </c>
      <c r="K17" s="2">
        <v>300</v>
      </c>
      <c r="L17" s="2" t="str">
        <f t="shared" ref="L17:L22" si="0">INDEX(rngUnitSettings,MATCH("Length",INDEX(rngUnitSettings,,1),0),2)</f>
        <v>mm</v>
      </c>
      <c r="M17" s="2" t="s">
        <v>318</v>
      </c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 t="str">
        <f>IF(INDEX(rngLoadCombinations,17,1)="","",INDEX(rngLoadCombinations,17,1))</f>
        <v/>
      </c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</row>
    <row r="18" spans="1:115" x14ac:dyDescent="0.25">
      <c r="A18" s="2" t="s">
        <v>53</v>
      </c>
      <c r="B18" s="2">
        <v>32500</v>
      </c>
      <c r="C18" s="2" t="str">
        <f>INDEX(rngUnitSettings,MATCH("Stress",INDEX(rngUnitSettings,,1),0),2)</f>
        <v>MPa</v>
      </c>
      <c r="D18" s="2" t="s">
        <v>54</v>
      </c>
      <c r="E18" s="2"/>
      <c r="F18" s="2" t="s">
        <v>298</v>
      </c>
      <c r="G18" s="2">
        <v>40</v>
      </c>
      <c r="H18" s="2" t="str">
        <f>INDEX(rngUnitSettings,MATCH("Length",INDEX(rngUnitSettings,,1),0),2)</f>
        <v>mm</v>
      </c>
      <c r="I18" s="2" t="s">
        <v>299</v>
      </c>
      <c r="J18" s="2" t="s">
        <v>319</v>
      </c>
      <c r="K18" s="2">
        <v>200</v>
      </c>
      <c r="L18" s="2" t="str">
        <f t="shared" si="0"/>
        <v>mm</v>
      </c>
      <c r="M18" s="2" t="s">
        <v>320</v>
      </c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 t="str">
        <f>IF(INDEX(rngLoadCombinations,18,1)="","",INDEX(rngLoadCombinations,18,1))</f>
        <v/>
      </c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</row>
    <row r="19" spans="1:115" x14ac:dyDescent="0.25">
      <c r="A19" s="2" t="s">
        <v>55</v>
      </c>
      <c r="B19" s="2" t="s">
        <v>56</v>
      </c>
      <c r="C19" s="2"/>
      <c r="D19" s="2" t="s">
        <v>57</v>
      </c>
      <c r="E19" s="2"/>
      <c r="F19" s="2" t="s">
        <v>300</v>
      </c>
      <c r="G19" s="2">
        <v>8</v>
      </c>
      <c r="H19" s="2" t="s">
        <v>35</v>
      </c>
      <c r="I19" s="2" t="s">
        <v>301</v>
      </c>
      <c r="J19" s="2" t="s">
        <v>321</v>
      </c>
      <c r="K19" s="2">
        <v>0</v>
      </c>
      <c r="L19" s="2" t="str">
        <f t="shared" si="0"/>
        <v>mm</v>
      </c>
      <c r="M19" s="2" t="s">
        <v>322</v>
      </c>
      <c r="N19" s="16" t="s">
        <v>260</v>
      </c>
      <c r="O19" s="17"/>
      <c r="P19" s="17"/>
      <c r="Q19" s="17"/>
      <c r="R19" s="17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 t="str">
        <f>IF(INDEX(rngLoadCombinations,19,1)="","",INDEX(rngLoadCombinations,19,1))</f>
        <v/>
      </c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</row>
    <row r="20" spans="1:115" x14ac:dyDescent="0.25">
      <c r="A20" s="2" t="s">
        <v>58</v>
      </c>
      <c r="B20" s="2">
        <v>-3.5000000000000001E-3</v>
      </c>
      <c r="C20" s="2"/>
      <c r="D20" s="2" t="s">
        <v>59</v>
      </c>
      <c r="E20" s="2"/>
      <c r="F20" s="2" t="s">
        <v>302</v>
      </c>
      <c r="G20" s="2">
        <v>20</v>
      </c>
      <c r="H20" s="2" t="str">
        <f>INDEX(rngUnitSettings,MATCH("Length",INDEX(rngUnitSettings,,1),0),2)</f>
        <v>mm</v>
      </c>
      <c r="I20" s="2" t="s">
        <v>303</v>
      </c>
      <c r="J20" s="2" t="s">
        <v>323</v>
      </c>
      <c r="K20" s="2">
        <v>0</v>
      </c>
      <c r="L20" s="2" t="str">
        <f t="shared" si="0"/>
        <v>mm</v>
      </c>
      <c r="M20" s="2" t="s">
        <v>324</v>
      </c>
      <c r="N20" s="8" t="s">
        <v>23</v>
      </c>
      <c r="O20" s="8" t="s">
        <v>261</v>
      </c>
      <c r="P20" s="8" t="s">
        <v>262</v>
      </c>
      <c r="Q20" s="8" t="s">
        <v>19</v>
      </c>
      <c r="R20" s="8" t="s">
        <v>20</v>
      </c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 t="str">
        <f>IF(INDEX(rngLoadCombinations,20,1)="","",INDEX(rngLoadCombinations,20,1))</f>
        <v/>
      </c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</row>
    <row r="21" spans="1:115" x14ac:dyDescent="0.25">
      <c r="A21" s="2" t="s">
        <v>60</v>
      </c>
      <c r="B21" s="2">
        <v>1.4999999999999999E-4</v>
      </c>
      <c r="C21" s="2"/>
      <c r="D21" s="2" t="s">
        <v>61</v>
      </c>
      <c r="E21" s="2"/>
      <c r="F21" s="2" t="s">
        <v>304</v>
      </c>
      <c r="G21" s="2"/>
      <c r="H21" s="2"/>
      <c r="I21" s="2" t="s">
        <v>305</v>
      </c>
      <c r="J21" s="2" t="s">
        <v>325</v>
      </c>
      <c r="K21" s="2">
        <v>0</v>
      </c>
      <c r="L21" s="2" t="str">
        <f t="shared" si="0"/>
        <v>mm</v>
      </c>
      <c r="M21" s="2" t="s">
        <v>326</v>
      </c>
      <c r="N21" s="2" t="s">
        <v>263</v>
      </c>
      <c r="O21" s="2" t="s">
        <v>92</v>
      </c>
      <c r="P21" s="2" t="s">
        <v>92</v>
      </c>
      <c r="Q21" s="2" t="s">
        <v>264</v>
      </c>
      <c r="R21" s="2" t="s">
        <v>265</v>
      </c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 t="str">
        <f>IF(INDEX(rngLoadCombinations,21,1)="","",INDEX(rngLoadCombinations,21,1))</f>
        <v/>
      </c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</row>
    <row r="22" spans="1:115" x14ac:dyDescent="0.25">
      <c r="A22" s="2"/>
      <c r="B22" s="2"/>
      <c r="C22" s="2"/>
      <c r="D22" s="2"/>
      <c r="E22" s="2"/>
      <c r="F22" s="2" t="s">
        <v>306</v>
      </c>
      <c r="G22" s="2"/>
      <c r="H22" s="2" t="str">
        <f>INDEX(rngUnitSettings,MATCH("Length",INDEX(rngUnitSettings,,1),0),2)</f>
        <v>mm</v>
      </c>
      <c r="I22" s="2" t="s">
        <v>307</v>
      </c>
      <c r="J22" s="2" t="s">
        <v>327</v>
      </c>
      <c r="K22" s="2">
        <v>0</v>
      </c>
      <c r="L22" s="2" t="str">
        <f t="shared" si="0"/>
        <v>mm</v>
      </c>
      <c r="M22" s="2" t="s">
        <v>328</v>
      </c>
      <c r="N22" s="2" t="s">
        <v>266</v>
      </c>
      <c r="O22" s="2" t="s">
        <v>267</v>
      </c>
      <c r="P22" s="2" t="s">
        <v>267</v>
      </c>
      <c r="Q22" s="2"/>
      <c r="R22" s="2" t="s">
        <v>268</v>
      </c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</row>
    <row r="23" spans="1:115" x14ac:dyDescent="0.25">
      <c r="A23" s="9" t="s">
        <v>62</v>
      </c>
      <c r="B23" s="9"/>
      <c r="C23" s="9"/>
      <c r="D23" s="9"/>
      <c r="E23" s="2"/>
      <c r="F23" s="2" t="s">
        <v>308</v>
      </c>
      <c r="G23" s="2"/>
      <c r="H23" s="2" t="str">
        <f>INDEX(rngUnitSettings,MATCH("Length",INDEX(rngUnitSettings,,1),0),2)</f>
        <v>mm</v>
      </c>
      <c r="I23" s="2" t="s">
        <v>309</v>
      </c>
      <c r="J23" s="2"/>
      <c r="K23" s="2"/>
      <c r="L23" s="2"/>
      <c r="M23" s="2"/>
      <c r="N23" s="2" t="s">
        <v>269</v>
      </c>
      <c r="O23" s="2">
        <v>60</v>
      </c>
      <c r="P23" s="2">
        <v>100</v>
      </c>
      <c r="Q23" s="2" t="s">
        <v>32</v>
      </c>
      <c r="R23" s="2" t="s">
        <v>270</v>
      </c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</row>
    <row r="24" spans="1:115" x14ac:dyDescent="0.25">
      <c r="A24" s="2" t="s">
        <v>63</v>
      </c>
      <c r="B24" s="2" t="s">
        <v>64</v>
      </c>
      <c r="C24" s="2"/>
      <c r="D24" s="2" t="s">
        <v>65</v>
      </c>
      <c r="E24" s="2"/>
      <c r="F24" s="2" t="s">
        <v>310</v>
      </c>
      <c r="G24" s="2" t="s">
        <v>311</v>
      </c>
      <c r="H24" s="2"/>
      <c r="I24" s="2" t="s">
        <v>312</v>
      </c>
      <c r="J24" s="2"/>
      <c r="K24" s="2"/>
      <c r="L24" s="2"/>
      <c r="M24" s="2"/>
      <c r="N24" s="2" t="s">
        <v>271</v>
      </c>
      <c r="O24" s="2" t="s">
        <v>92</v>
      </c>
      <c r="P24" s="2" t="s">
        <v>272</v>
      </c>
      <c r="Q24" s="2" t="s">
        <v>264</v>
      </c>
      <c r="R24" s="2" t="s">
        <v>273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</row>
    <row r="25" spans="1:115" x14ac:dyDescent="0.25">
      <c r="A25" s="2" t="s">
        <v>66</v>
      </c>
      <c r="B25" s="2">
        <v>350</v>
      </c>
      <c r="C25" s="2" t="str">
        <f>INDEX(rngUnitSettings,MATCH("Stress",INDEX(rngUnitSettings,,1),0),2)</f>
        <v>MPa</v>
      </c>
      <c r="D25" s="2" t="s">
        <v>67</v>
      </c>
      <c r="E25" s="2"/>
      <c r="F25" s="2" t="s">
        <v>313</v>
      </c>
      <c r="G25" s="2" t="s">
        <v>311</v>
      </c>
      <c r="H25" s="2"/>
      <c r="I25" s="2" t="s">
        <v>314</v>
      </c>
      <c r="J25" s="2"/>
      <c r="K25" s="2"/>
      <c r="L25" s="2"/>
      <c r="M25" s="2"/>
      <c r="N25" s="2" t="s">
        <v>274</v>
      </c>
      <c r="O25" s="2">
        <v>1.35</v>
      </c>
      <c r="P25" s="2">
        <v>1.75</v>
      </c>
      <c r="Q25" s="2" t="s">
        <v>275</v>
      </c>
      <c r="R25" s="2" t="s">
        <v>276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</row>
    <row r="26" spans="1:115" x14ac:dyDescent="0.25">
      <c r="A26" s="2" t="s">
        <v>68</v>
      </c>
      <c r="B26" s="2">
        <v>350</v>
      </c>
      <c r="C26" s="2" t="str">
        <f>INDEX(rngUnitSettings,MATCH("Stress",INDEX(rngUnitSettings,,1),0),2)</f>
        <v>MPa</v>
      </c>
      <c r="D26" s="2" t="s">
        <v>69</v>
      </c>
      <c r="E26" s="2"/>
      <c r="F26" s="2"/>
      <c r="G26" s="2"/>
      <c r="H26" s="2"/>
      <c r="I26" s="2"/>
      <c r="J26" s="2"/>
      <c r="K26" s="2"/>
      <c r="L26" s="2"/>
      <c r="M26" s="2"/>
      <c r="N26" s="2" t="s">
        <v>277</v>
      </c>
      <c r="O26" s="2" t="s">
        <v>272</v>
      </c>
      <c r="P26" s="2">
        <v>0.85</v>
      </c>
      <c r="Q26" s="2" t="s">
        <v>275</v>
      </c>
      <c r="R26" s="2" t="s">
        <v>278</v>
      </c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</row>
    <row r="27" spans="1:115" x14ac:dyDescent="0.25">
      <c r="A27" s="2" t="s">
        <v>70</v>
      </c>
      <c r="B27" s="2">
        <v>200000</v>
      </c>
      <c r="C27" s="2" t="str">
        <f>INDEX(rngUnitSettings,MATCH("Stress",INDEX(rngUnitSettings,,1),0),2)</f>
        <v>MPa</v>
      </c>
      <c r="D27" s="2" t="s">
        <v>71</v>
      </c>
      <c r="E27" s="2"/>
      <c r="F27" s="2"/>
      <c r="G27" s="2"/>
      <c r="H27" s="2"/>
      <c r="I27" s="2"/>
      <c r="J27" s="2"/>
      <c r="K27" s="2"/>
      <c r="L27" s="2"/>
      <c r="M27" s="2"/>
      <c r="N27" s="2" t="s">
        <v>279</v>
      </c>
      <c r="O27" s="2">
        <v>20</v>
      </c>
      <c r="P27" s="2">
        <v>20</v>
      </c>
      <c r="Q27" s="2" t="s">
        <v>32</v>
      </c>
      <c r="R27" s="2" t="s">
        <v>280</v>
      </c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</row>
    <row r="28" spans="1:115" x14ac:dyDescent="0.25">
      <c r="A28" s="2" t="s">
        <v>72</v>
      </c>
      <c r="B28" s="2">
        <v>2.5000000000000001E-2</v>
      </c>
      <c r="C28" s="2"/>
      <c r="D28" s="2" t="s">
        <v>73</v>
      </c>
      <c r="E28" s="2"/>
      <c r="F28" s="2"/>
      <c r="G28" s="2"/>
      <c r="H28" s="2"/>
      <c r="I28" s="2"/>
      <c r="J28" s="2"/>
      <c r="K28" s="2"/>
      <c r="L28" s="2"/>
      <c r="M28" s="2"/>
      <c r="N28" s="2" t="s">
        <v>281</v>
      </c>
      <c r="O28" s="2">
        <v>20</v>
      </c>
      <c r="P28" s="2">
        <v>20</v>
      </c>
      <c r="Q28" s="2" t="s">
        <v>32</v>
      </c>
      <c r="R28" s="2" t="s">
        <v>282</v>
      </c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</row>
    <row r="29" spans="1:115" x14ac:dyDescent="0.25">
      <c r="A29" s="2"/>
      <c r="B29" s="2"/>
      <c r="C29" s="2"/>
      <c r="D29" s="2"/>
      <c r="E29" s="2"/>
      <c r="F29" s="16" t="s">
        <v>329</v>
      </c>
      <c r="G29" s="17"/>
      <c r="H29" s="17"/>
      <c r="I29" s="17"/>
      <c r="J29" s="17"/>
      <c r="K29" s="17"/>
      <c r="L29" s="17"/>
      <c r="M29" s="2"/>
      <c r="N29" s="2" t="s">
        <v>283</v>
      </c>
      <c r="O29" s="2" t="s">
        <v>272</v>
      </c>
      <c r="P29" s="2" t="s">
        <v>284</v>
      </c>
      <c r="Q29" s="2"/>
      <c r="R29" s="2" t="s">
        <v>285</v>
      </c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</row>
    <row r="30" spans="1:115" x14ac:dyDescent="0.25">
      <c r="A30" s="9" t="s">
        <v>74</v>
      </c>
      <c r="B30" s="9"/>
      <c r="C30" s="9"/>
      <c r="D30" s="9"/>
      <c r="E30" s="2"/>
      <c r="F30" s="8" t="s">
        <v>23</v>
      </c>
      <c r="G30" s="8" t="s">
        <v>330</v>
      </c>
      <c r="H30" s="8" t="s">
        <v>331</v>
      </c>
      <c r="I30" s="8" t="s">
        <v>332</v>
      </c>
      <c r="J30" s="8" t="s">
        <v>333</v>
      </c>
      <c r="K30" s="8" t="s">
        <v>19</v>
      </c>
      <c r="L30" s="8" t="s">
        <v>20</v>
      </c>
      <c r="M30" s="2"/>
      <c r="N30" s="2" t="s">
        <v>286</v>
      </c>
      <c r="O30" s="2" t="s">
        <v>272</v>
      </c>
      <c r="P30" s="2" t="s">
        <v>287</v>
      </c>
      <c r="Q30" s="2"/>
      <c r="R30" s="2" t="s">
        <v>288</v>
      </c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</row>
    <row r="31" spans="1:115" x14ac:dyDescent="0.25">
      <c r="A31" s="2" t="s">
        <v>75</v>
      </c>
      <c r="B31" s="2" t="s">
        <v>76</v>
      </c>
      <c r="C31" s="2"/>
      <c r="D31" s="2" t="s">
        <v>77</v>
      </c>
      <c r="E31" s="2"/>
      <c r="F31" s="2" t="s">
        <v>334</v>
      </c>
      <c r="G31" s="2">
        <v>550</v>
      </c>
      <c r="H31" s="2">
        <v>250</v>
      </c>
      <c r="I31" s="2">
        <v>250</v>
      </c>
      <c r="J31" s="2">
        <v>600</v>
      </c>
      <c r="K31" s="2" t="str">
        <f>INDEX(rngUnitSettings,MATCH("Length",INDEX(rngUnitSettings,,1),0),2)</f>
        <v>mm</v>
      </c>
      <c r="L31" s="2" t="s">
        <v>335</v>
      </c>
      <c r="M31" s="2"/>
      <c r="N31" s="2" t="s">
        <v>289</v>
      </c>
      <c r="O31" s="2" t="s">
        <v>290</v>
      </c>
      <c r="P31" s="2" t="s">
        <v>290</v>
      </c>
      <c r="Q31" s="2" t="s">
        <v>291</v>
      </c>
      <c r="R31" s="2" t="s">
        <v>292</v>
      </c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</row>
    <row r="32" spans="1:115" x14ac:dyDescent="0.25">
      <c r="A32" s="2" t="s">
        <v>78</v>
      </c>
      <c r="B32" s="2" t="s">
        <v>79</v>
      </c>
      <c r="C32" s="2"/>
      <c r="D32" s="2" t="s">
        <v>80</v>
      </c>
      <c r="E32" s="2"/>
      <c r="F32" s="2" t="s">
        <v>336</v>
      </c>
      <c r="G32" s="2">
        <v>40</v>
      </c>
      <c r="H32" s="2">
        <v>40</v>
      </c>
      <c r="I32" s="2">
        <v>40</v>
      </c>
      <c r="J32" s="2">
        <v>40</v>
      </c>
      <c r="K32" s="2" t="str">
        <f>INDEX(rngUnitSettings,MATCH("Length",INDEX(rngUnitSettings,,1),0),2)</f>
        <v>mm</v>
      </c>
      <c r="L32" s="2" t="s">
        <v>337</v>
      </c>
      <c r="M32" s="2"/>
      <c r="N32" s="2" t="s">
        <v>293</v>
      </c>
      <c r="O32" s="2" t="s">
        <v>272</v>
      </c>
      <c r="P32" s="11">
        <v>140140140</v>
      </c>
      <c r="Q32" s="2" t="s">
        <v>291</v>
      </c>
      <c r="R32" s="2" t="s">
        <v>294</v>
      </c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</row>
    <row r="33" spans="1:115" x14ac:dyDescent="0.25">
      <c r="A33" s="2" t="s">
        <v>81</v>
      </c>
      <c r="B33" s="2">
        <v>40</v>
      </c>
      <c r="C33" s="2" t="s">
        <v>35</v>
      </c>
      <c r="D33" s="2" t="s">
        <v>82</v>
      </c>
      <c r="E33" s="2"/>
      <c r="F33" s="2" t="s">
        <v>338</v>
      </c>
      <c r="G33" s="2">
        <v>40</v>
      </c>
      <c r="H33" s="2">
        <v>40</v>
      </c>
      <c r="I33" s="2">
        <v>40</v>
      </c>
      <c r="J33" s="2">
        <v>40</v>
      </c>
      <c r="K33" s="2" t="str">
        <f>INDEX(rngUnitSettings,MATCH("Length",INDEX(rngUnitSettings,,1),0),2)</f>
        <v>mm</v>
      </c>
      <c r="L33" s="2" t="s">
        <v>339</v>
      </c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</row>
    <row r="34" spans="1:115" x14ac:dyDescent="0.25">
      <c r="A34" s="2" t="s">
        <v>83</v>
      </c>
      <c r="B34" s="2">
        <v>1</v>
      </c>
      <c r="C34" s="2" t="s">
        <v>35</v>
      </c>
      <c r="D34" s="2" t="s">
        <v>84</v>
      </c>
      <c r="E34" s="2"/>
      <c r="F34" s="2" t="s">
        <v>340</v>
      </c>
      <c r="G34" s="2">
        <v>32</v>
      </c>
      <c r="H34" s="2">
        <v>32</v>
      </c>
      <c r="I34" s="2">
        <v>32</v>
      </c>
      <c r="J34" s="2">
        <v>32</v>
      </c>
      <c r="K34" s="2" t="str">
        <f>INDEX(rngUnitSettings,MATCH("Length",INDEX(rngUnitSettings,,1),0),2)</f>
        <v>mm</v>
      </c>
      <c r="L34" s="2" t="s">
        <v>341</v>
      </c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</row>
    <row r="35" spans="1:115" x14ac:dyDescent="0.25">
      <c r="A35" s="2" t="s">
        <v>85</v>
      </c>
      <c r="B35" s="2">
        <v>1</v>
      </c>
      <c r="C35" s="2" t="str">
        <f>INDEX(rngUnitSettings,MATCH("Force",INDEX(rngUnitSettings,,1),0),2)</f>
        <v>tf</v>
      </c>
      <c r="D35" s="2" t="s">
        <v>86</v>
      </c>
      <c r="E35" s="2"/>
      <c r="F35" s="2" t="s">
        <v>342</v>
      </c>
      <c r="G35" s="2">
        <v>32</v>
      </c>
      <c r="H35" s="2">
        <v>32</v>
      </c>
      <c r="I35" s="2">
        <v>32</v>
      </c>
      <c r="J35" s="2">
        <v>32</v>
      </c>
      <c r="K35" s="2" t="str">
        <f>INDEX(rngUnitSettings,MATCH("Length",INDEX(rngUnitSettings,,1),0),2)</f>
        <v>mm</v>
      </c>
      <c r="L35" s="2" t="s">
        <v>343</v>
      </c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</row>
    <row r="36" spans="1:115" x14ac:dyDescent="0.25">
      <c r="A36" s="2" t="s">
        <v>87</v>
      </c>
      <c r="B36" s="2">
        <v>1000</v>
      </c>
      <c r="C36" s="2" t="str">
        <f>INDEX(rngUnitSettings,MATCH("Moment",INDEX(rngUnitSettings,,1),0),2)</f>
        <v>tf*m</v>
      </c>
      <c r="D36" s="2" t="s">
        <v>88</v>
      </c>
      <c r="E36" s="2"/>
      <c r="F36" s="2" t="s">
        <v>344</v>
      </c>
      <c r="G36" s="2">
        <v>5</v>
      </c>
      <c r="H36" s="2">
        <v>2</v>
      </c>
      <c r="I36" s="2">
        <v>2</v>
      </c>
      <c r="J36" s="2">
        <v>5</v>
      </c>
      <c r="K36" s="2" t="s">
        <v>35</v>
      </c>
      <c r="L36" s="2" t="s">
        <v>345</v>
      </c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</row>
    <row r="37" spans="1:115" x14ac:dyDescent="0.25">
      <c r="A37" s="2" t="s">
        <v>89</v>
      </c>
      <c r="B37" s="2">
        <v>1000</v>
      </c>
      <c r="C37" s="2" t="str">
        <f>INDEX(rngUnitSettings,MATCH("Moment",INDEX(rngUnitSettings,,1),0),2)</f>
        <v>tf*m</v>
      </c>
      <c r="D37" s="2" t="s">
        <v>90</v>
      </c>
      <c r="E37" s="2"/>
      <c r="F37" s="2" t="s">
        <v>346</v>
      </c>
      <c r="G37" s="2">
        <v>5</v>
      </c>
      <c r="H37" s="2">
        <v>2</v>
      </c>
      <c r="I37" s="2">
        <v>2</v>
      </c>
      <c r="J37" s="2">
        <v>5</v>
      </c>
      <c r="K37" s="2" t="s">
        <v>35</v>
      </c>
      <c r="L37" s="2" t="s">
        <v>347</v>
      </c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</row>
    <row r="38" spans="1:115" x14ac:dyDescent="0.25">
      <c r="A38" s="2" t="s">
        <v>91</v>
      </c>
      <c r="B38" s="2" t="s">
        <v>92</v>
      </c>
      <c r="C38" s="2"/>
      <c r="D38" s="2" t="s">
        <v>93</v>
      </c>
      <c r="E38" s="2"/>
      <c r="F38" s="2" t="s">
        <v>348</v>
      </c>
      <c r="G38" s="2">
        <v>80</v>
      </c>
      <c r="H38" s="2">
        <v>80</v>
      </c>
      <c r="I38" s="2">
        <v>80</v>
      </c>
      <c r="J38" s="2">
        <v>80</v>
      </c>
      <c r="K38" s="2" t="str">
        <f>INDEX(rngUnitSettings,MATCH("Length",INDEX(rngUnitSettings,,1),0),2)</f>
        <v>mm</v>
      </c>
      <c r="L38" s="2" t="s">
        <v>349</v>
      </c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</row>
    <row r="39" spans="1:115" x14ac:dyDescent="0.25">
      <c r="A39" s="2" t="s">
        <v>94</v>
      </c>
      <c r="B39" s="2">
        <v>1</v>
      </c>
      <c r="C39" s="2"/>
      <c r="D39" s="2" t="s">
        <v>95</v>
      </c>
      <c r="E39" s="2"/>
      <c r="F39" s="2" t="s">
        <v>350</v>
      </c>
      <c r="G39" s="2">
        <v>80</v>
      </c>
      <c r="H39" s="2">
        <v>80</v>
      </c>
      <c r="I39" s="2">
        <v>80</v>
      </c>
      <c r="J39" s="2">
        <v>80</v>
      </c>
      <c r="K39" s="2" t="str">
        <f>INDEX(rngUnitSettings,MATCH("Length",INDEX(rngUnitSettings,,1),0),2)</f>
        <v>mm</v>
      </c>
      <c r="L39" s="2" t="s">
        <v>351</v>
      </c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</row>
    <row r="40" spans="1:115" x14ac:dyDescent="0.25">
      <c r="A40" s="2" t="s">
        <v>96</v>
      </c>
      <c r="B40" s="2">
        <v>3.125E-2</v>
      </c>
      <c r="C40" s="2"/>
      <c r="D40" s="2" t="s">
        <v>97</v>
      </c>
      <c r="E40" s="2"/>
      <c r="F40" s="2" t="s">
        <v>352</v>
      </c>
      <c r="G40" s="2">
        <v>80</v>
      </c>
      <c r="H40" s="2">
        <v>80</v>
      </c>
      <c r="I40" s="2">
        <v>80</v>
      </c>
      <c r="J40" s="2">
        <v>80</v>
      </c>
      <c r="K40" s="2" t="str">
        <f>INDEX(rngUnitSettings,MATCH("Length",INDEX(rngUnitSettings,,1),0),2)</f>
        <v>mm</v>
      </c>
      <c r="L40" s="2" t="s">
        <v>353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</row>
    <row r="41" spans="1:115" x14ac:dyDescent="0.25">
      <c r="A41" s="2" t="s">
        <v>98</v>
      </c>
      <c r="B41" s="2">
        <v>5.0000000000000001E-4</v>
      </c>
      <c r="C41" s="2"/>
      <c r="D41" s="2" t="s">
        <v>99</v>
      </c>
      <c r="E41" s="2"/>
      <c r="F41" s="2" t="s">
        <v>354</v>
      </c>
      <c r="G41" s="2">
        <v>80</v>
      </c>
      <c r="H41" s="2">
        <v>80</v>
      </c>
      <c r="I41" s="2">
        <v>80</v>
      </c>
      <c r="J41" s="2">
        <v>80</v>
      </c>
      <c r="K41" s="2" t="str">
        <f>INDEX(rngUnitSettings,MATCH("Length",INDEX(rngUnitSettings,,1),0),2)</f>
        <v>mm</v>
      </c>
      <c r="L41" s="2" t="s">
        <v>355</v>
      </c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</row>
    <row r="42" spans="1:115" x14ac:dyDescent="0.25">
      <c r="A42" s="2" t="s">
        <v>100</v>
      </c>
      <c r="B42" s="2">
        <v>1.0000000000000001E-5</v>
      </c>
      <c r="C42" s="2" t="str">
        <f>INDEX(rngUnitSettings,MATCH("Curvature",INDEX(rngUnitSettings,,1),0),2)</f>
        <v>1/mm</v>
      </c>
      <c r="D42" s="2" t="s">
        <v>101</v>
      </c>
      <c r="E42" s="2"/>
      <c r="F42" s="2" t="s">
        <v>304</v>
      </c>
      <c r="G42" s="2"/>
      <c r="H42" s="2"/>
      <c r="I42" s="2"/>
      <c r="J42" s="2"/>
      <c r="K42" s="2"/>
      <c r="L42" s="2" t="s">
        <v>356</v>
      </c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</row>
    <row r="43" spans="1:115" x14ac:dyDescent="0.25">
      <c r="A43" s="2" t="s">
        <v>102</v>
      </c>
      <c r="B43" s="2">
        <v>2</v>
      </c>
      <c r="C43" s="2" t="s">
        <v>35</v>
      </c>
      <c r="D43" s="2" t="s">
        <v>103</v>
      </c>
      <c r="E43" s="2"/>
      <c r="F43" s="2" t="s">
        <v>357</v>
      </c>
      <c r="G43" s="2"/>
      <c r="H43" s="2"/>
      <c r="I43" s="2"/>
      <c r="J43" s="2"/>
      <c r="K43" s="2" t="str">
        <f>INDEX(rngUnitSettings,MATCH("Length",INDEX(rngUnitSettings,,1),0),2)</f>
        <v>mm</v>
      </c>
      <c r="L43" s="2" t="s">
        <v>358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</row>
    <row r="44" spans="1:115" x14ac:dyDescent="0.25">
      <c r="A44" s="2" t="s">
        <v>104</v>
      </c>
      <c r="B44" s="2">
        <v>9.9999999999999998E-13</v>
      </c>
      <c r="C44" s="2"/>
      <c r="D44" s="2" t="s">
        <v>105</v>
      </c>
      <c r="E44" s="2"/>
      <c r="F44" s="2" t="s">
        <v>359</v>
      </c>
      <c r="G44" s="2"/>
      <c r="H44" s="2"/>
      <c r="I44" s="2"/>
      <c r="J44" s="2"/>
      <c r="K44" s="2" t="str">
        <f>INDEX(rngUnitSettings,MATCH("Length",INDEX(rngUnitSettings,,1),0),2)</f>
        <v>mm</v>
      </c>
      <c r="L44" s="2" t="s">
        <v>360</v>
      </c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</row>
    <row r="45" spans="1:115" x14ac:dyDescent="0.25">
      <c r="A45" s="2"/>
      <c r="B45" s="2"/>
      <c r="C45" s="2"/>
      <c r="D45" s="2"/>
      <c r="E45" s="2"/>
      <c r="F45" s="2" t="s">
        <v>361</v>
      </c>
      <c r="G45" s="2"/>
      <c r="H45" s="2"/>
      <c r="I45" s="2"/>
      <c r="J45" s="2"/>
      <c r="K45" s="2" t="str">
        <f>INDEX(rngUnitSettings,MATCH("Length",INDEX(rngUnitSettings,,1),0),2)</f>
        <v>mm</v>
      </c>
      <c r="L45" s="2" t="s">
        <v>362</v>
      </c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</row>
    <row r="46" spans="1:115" x14ac:dyDescent="0.25">
      <c r="A46" s="9" t="s">
        <v>106</v>
      </c>
      <c r="B46" s="9"/>
      <c r="C46" s="9"/>
      <c r="D46" s="9"/>
      <c r="E46" s="2"/>
      <c r="F46" s="2" t="s">
        <v>363</v>
      </c>
      <c r="G46" s="2"/>
      <c r="H46" s="2"/>
      <c r="I46" s="2"/>
      <c r="J46" s="2"/>
      <c r="K46" s="2" t="str">
        <f>INDEX(rngUnitSettings,MATCH("Length",INDEX(rngUnitSettings,,1),0),2)</f>
        <v>mm</v>
      </c>
      <c r="L46" s="2" t="s">
        <v>364</v>
      </c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</row>
    <row r="47" spans="1:115" x14ac:dyDescent="0.25">
      <c r="A47" s="2" t="s">
        <v>107</v>
      </c>
      <c r="B47" s="2" t="s">
        <v>108</v>
      </c>
      <c r="C47" s="2"/>
      <c r="D47" s="2" t="s">
        <v>109</v>
      </c>
      <c r="E47" s="2"/>
      <c r="F47" s="2" t="s">
        <v>365</v>
      </c>
      <c r="G47" s="2" t="s">
        <v>311</v>
      </c>
      <c r="H47" s="2" t="s">
        <v>311</v>
      </c>
      <c r="I47" s="2" t="s">
        <v>311</v>
      </c>
      <c r="J47" s="2" t="s">
        <v>311</v>
      </c>
      <c r="K47" s="2"/>
      <c r="L47" s="2" t="s">
        <v>366</v>
      </c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</row>
    <row r="48" spans="1:115" x14ac:dyDescent="0.25">
      <c r="A48" s="2" t="s">
        <v>110</v>
      </c>
      <c r="B48" s="2" t="s">
        <v>111</v>
      </c>
      <c r="C48" s="2"/>
      <c r="D48" s="2" t="s">
        <v>112</v>
      </c>
      <c r="E48" s="2"/>
      <c r="F48" s="2" t="s">
        <v>367</v>
      </c>
      <c r="G48" s="2" t="s">
        <v>311</v>
      </c>
      <c r="H48" s="2" t="s">
        <v>311</v>
      </c>
      <c r="I48" s="2" t="s">
        <v>311</v>
      </c>
      <c r="J48" s="2" t="s">
        <v>311</v>
      </c>
      <c r="K48" s="2"/>
      <c r="L48" s="2" t="s">
        <v>368</v>
      </c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</row>
    <row r="49" spans="1:115" x14ac:dyDescent="0.25">
      <c r="A49" s="2" t="s">
        <v>113</v>
      </c>
      <c r="B49" s="2">
        <v>1</v>
      </c>
      <c r="C49" s="2"/>
      <c r="D49" s="2" t="s">
        <v>114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</row>
    <row r="50" spans="1:115" x14ac:dyDescent="0.25">
      <c r="A50" s="2" t="s">
        <v>115</v>
      </c>
      <c r="B50" s="2">
        <v>0.01</v>
      </c>
      <c r="C50" s="2"/>
      <c r="D50" s="2" t="s">
        <v>116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</row>
    <row r="51" spans="1:115" x14ac:dyDescent="0.25">
      <c r="A51" s="2" t="s">
        <v>117</v>
      </c>
      <c r="B51" s="2">
        <v>0</v>
      </c>
      <c r="C51" s="2" t="s">
        <v>35</v>
      </c>
      <c r="D51" s="2" t="s">
        <v>118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</row>
    <row r="52" spans="1:115" x14ac:dyDescent="0.25">
      <c r="A52" s="2" t="s">
        <v>119</v>
      </c>
      <c r="B52" s="2">
        <v>1</v>
      </c>
      <c r="C52" s="2" t="s">
        <v>35</v>
      </c>
      <c r="D52" s="2" t="s">
        <v>120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</row>
    <row r="53" spans="1:115" x14ac:dyDescent="0.25">
      <c r="A53" s="2" t="s">
        <v>121</v>
      </c>
      <c r="B53" s="2">
        <v>1.0000000000000001E-5</v>
      </c>
      <c r="C53" s="2"/>
      <c r="D53" s="2" t="s">
        <v>122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</row>
    <row r="54" spans="1:115" x14ac:dyDescent="0.25">
      <c r="A54" s="2" t="s">
        <v>123</v>
      </c>
      <c r="B54" s="2">
        <v>64</v>
      </c>
      <c r="C54" s="2"/>
      <c r="D54" s="2" t="s">
        <v>124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</row>
    <row r="55" spans="1:115" x14ac:dyDescent="0.25">
      <c r="A55" s="2" t="s">
        <v>125</v>
      </c>
      <c r="B55" s="2">
        <v>60</v>
      </c>
      <c r="C55" s="2" t="s">
        <v>35</v>
      </c>
      <c r="D55" s="2" t="s">
        <v>126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</row>
    <row r="56" spans="1:115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</row>
    <row r="57" spans="1:115" x14ac:dyDescent="0.25">
      <c r="A57" s="9" t="s">
        <v>127</v>
      </c>
      <c r="B57" s="9"/>
      <c r="C57" s="9"/>
      <c r="D57" s="9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</row>
    <row r="58" spans="1:115" x14ac:dyDescent="0.25">
      <c r="A58" s="2" t="s">
        <v>128</v>
      </c>
      <c r="B58" s="2" t="s">
        <v>92</v>
      </c>
      <c r="C58" s="2"/>
      <c r="D58" s="2" t="s">
        <v>129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</row>
    <row r="59" spans="1:115" x14ac:dyDescent="0.25">
      <c r="A59" s="2" t="s">
        <v>130</v>
      </c>
      <c r="B59" s="2">
        <v>0.3</v>
      </c>
      <c r="C59" s="2" t="str">
        <f>INDEX(rngUnitSettings,MATCH("Length",INDEX(rngUnitSettings,,1),0),2)</f>
        <v>mm</v>
      </c>
      <c r="D59" s="2" t="s">
        <v>131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</row>
    <row r="60" spans="1:115" x14ac:dyDescent="0.25">
      <c r="A60" s="2" t="s">
        <v>132</v>
      </c>
      <c r="B60" s="2">
        <v>200</v>
      </c>
      <c r="C60" s="2" t="str">
        <f>INDEX(rngUnitSettings,MATCH("Length",INDEX(rngUnitSettings,,1),0),2)</f>
        <v>mm</v>
      </c>
      <c r="D60" s="2" t="s">
        <v>133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</row>
    <row r="61" spans="1:115" x14ac:dyDescent="0.25">
      <c r="A61" s="2" t="s">
        <v>134</v>
      </c>
      <c r="B61" s="2">
        <v>1</v>
      </c>
      <c r="C61" s="2"/>
      <c r="D61" s="2" t="s">
        <v>135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</row>
    <row r="62" spans="1:115" x14ac:dyDescent="0.25">
      <c r="A62" s="2" t="s">
        <v>136</v>
      </c>
      <c r="B62" s="2">
        <v>1</v>
      </c>
      <c r="C62" s="2"/>
      <c r="D62" s="2" t="s">
        <v>137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</row>
    <row r="63" spans="1:115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</row>
    <row r="64" spans="1:115" x14ac:dyDescent="0.25">
      <c r="A64" s="9" t="s">
        <v>138</v>
      </c>
      <c r="B64" s="9"/>
      <c r="C64" s="9"/>
      <c r="D64" s="9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</row>
    <row r="65" spans="1:115" x14ac:dyDescent="0.25">
      <c r="A65" s="2" t="s">
        <v>139</v>
      </c>
      <c r="B65" s="2" t="s">
        <v>140</v>
      </c>
      <c r="C65" s="2"/>
      <c r="D65" s="2" t="s">
        <v>141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</row>
    <row r="66" spans="1:115" x14ac:dyDescent="0.25">
      <c r="A66" s="2" t="s">
        <v>142</v>
      </c>
      <c r="B66" s="2" t="s">
        <v>92</v>
      </c>
      <c r="C66" s="2"/>
      <c r="D66" s="2" t="s">
        <v>143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</row>
    <row r="67" spans="1:115" x14ac:dyDescent="0.25">
      <c r="A67" s="2" t="s">
        <v>144</v>
      </c>
      <c r="B67" s="2" t="s">
        <v>92</v>
      </c>
      <c r="C67" s="2"/>
      <c r="D67" s="2" t="s">
        <v>145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</row>
    <row r="68" spans="1:115" x14ac:dyDescent="0.25">
      <c r="A68" s="2" t="s">
        <v>146</v>
      </c>
      <c r="B68" s="2" t="s">
        <v>92</v>
      </c>
      <c r="C68" s="2"/>
      <c r="D68" s="2" t="s">
        <v>147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</row>
    <row r="69" spans="1:115" x14ac:dyDescent="0.25">
      <c r="A69" s="2" t="s">
        <v>148</v>
      </c>
      <c r="B69" s="2" t="s">
        <v>149</v>
      </c>
      <c r="C69" s="2"/>
      <c r="D69" s="2" t="s">
        <v>150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</row>
    <row r="70" spans="1:115" x14ac:dyDescent="0.25">
      <c r="A70" s="2" t="s">
        <v>151</v>
      </c>
      <c r="B70" s="2" t="s">
        <v>152</v>
      </c>
      <c r="C70" s="2"/>
      <c r="D70" s="2" t="s">
        <v>153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</row>
    <row r="71" spans="1:115" x14ac:dyDescent="0.25">
      <c r="A71" s="2" t="s">
        <v>154</v>
      </c>
      <c r="B71" s="2" t="s">
        <v>155</v>
      </c>
      <c r="C71" s="2"/>
      <c r="D71" s="2" t="s">
        <v>156</v>
      </c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</row>
    <row r="72" spans="1:115" x14ac:dyDescent="0.25">
      <c r="A72" s="2" t="s">
        <v>157</v>
      </c>
      <c r="B72" s="2" t="s">
        <v>158</v>
      </c>
      <c r="C72" s="2"/>
      <c r="D72" s="2" t="s">
        <v>159</v>
      </c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</row>
    <row r="73" spans="1:115" x14ac:dyDescent="0.25">
      <c r="A73" s="2" t="s">
        <v>160</v>
      </c>
      <c r="B73" s="2" t="s">
        <v>161</v>
      </c>
      <c r="C73" s="2"/>
      <c r="D73" s="2" t="s">
        <v>162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</row>
    <row r="74" spans="1:115" x14ac:dyDescent="0.25">
      <c r="A74" s="2" t="s">
        <v>163</v>
      </c>
      <c r="B74" s="2" t="s">
        <v>164</v>
      </c>
      <c r="C74" s="2"/>
      <c r="D74" s="2" t="s">
        <v>165</v>
      </c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</row>
    <row r="75" spans="1:115" x14ac:dyDescent="0.25">
      <c r="A75" s="2" t="s">
        <v>166</v>
      </c>
      <c r="B75" s="2" t="s">
        <v>167</v>
      </c>
      <c r="C75" s="2"/>
      <c r="D75" s="2" t="s">
        <v>168</v>
      </c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</row>
    <row r="76" spans="1:115" x14ac:dyDescent="0.25">
      <c r="A76" s="2" t="s">
        <v>169</v>
      </c>
      <c r="B76" s="2" t="s">
        <v>170</v>
      </c>
      <c r="C76" s="2"/>
      <c r="D76" s="2" t="s">
        <v>171</v>
      </c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</row>
    <row r="77" spans="1:115" x14ac:dyDescent="0.25">
      <c r="A77" s="2" t="s">
        <v>172</v>
      </c>
      <c r="B77" s="2">
        <v>9</v>
      </c>
      <c r="C77" s="2"/>
      <c r="D77" s="2" t="s">
        <v>173</v>
      </c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</row>
    <row r="78" spans="1:115" x14ac:dyDescent="0.25">
      <c r="A78" s="2" t="s">
        <v>174</v>
      </c>
      <c r="B78" s="2">
        <v>5</v>
      </c>
      <c r="C78" s="2"/>
      <c r="D78" s="2" t="s">
        <v>175</v>
      </c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</row>
    <row r="79" spans="1:115" x14ac:dyDescent="0.25">
      <c r="A79" s="2" t="s">
        <v>176</v>
      </c>
      <c r="B79" s="2">
        <v>1</v>
      </c>
      <c r="C79" s="2"/>
      <c r="D79" s="2" t="s">
        <v>177</v>
      </c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</row>
    <row r="80" spans="1:115" x14ac:dyDescent="0.25">
      <c r="A80" s="2" t="s">
        <v>178</v>
      </c>
      <c r="B80" s="2">
        <v>6</v>
      </c>
      <c r="C80" s="2"/>
      <c r="D80" s="2" t="s">
        <v>179</v>
      </c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</row>
    <row r="81" spans="1:115" x14ac:dyDescent="0.25">
      <c r="A81" s="2" t="s">
        <v>180</v>
      </c>
      <c r="B81" s="2">
        <v>8</v>
      </c>
      <c r="C81" s="2"/>
      <c r="D81" s="2" t="s">
        <v>181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</row>
    <row r="82" spans="1:1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</row>
    <row r="83" spans="1:115" x14ac:dyDescent="0.25">
      <c r="A83" s="9" t="s">
        <v>182</v>
      </c>
      <c r="B83" s="9"/>
      <c r="C83" s="9"/>
      <c r="D83" s="9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</row>
    <row r="84" spans="1:115" x14ac:dyDescent="0.25">
      <c r="A84" s="2" t="s">
        <v>183</v>
      </c>
      <c r="B84" s="2" t="s">
        <v>155</v>
      </c>
      <c r="C84" s="2"/>
      <c r="D84" s="2" t="s">
        <v>184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</row>
    <row r="85" spans="1:115" x14ac:dyDescent="0.25">
      <c r="A85" s="2" t="s">
        <v>185</v>
      </c>
      <c r="B85" s="2" t="s">
        <v>158</v>
      </c>
      <c r="C85" s="2"/>
      <c r="D85" s="2" t="s">
        <v>186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</row>
    <row r="86" spans="1:115" x14ac:dyDescent="0.25">
      <c r="A86" s="2" t="s">
        <v>187</v>
      </c>
      <c r="B86" s="2">
        <v>9.9999999999999995E-7</v>
      </c>
      <c r="C86" s="2" t="str">
        <f>INDEX(rngUnitSettings,MATCH("Area",INDEX(rngUnitSettings,,1),0),2)</f>
        <v>mm2</v>
      </c>
      <c r="D86" s="2" t="s">
        <v>188</v>
      </c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</row>
    <row r="87" spans="1:115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</row>
    <row r="88" spans="1:115" x14ac:dyDescent="0.25">
      <c r="A88" s="9" t="s">
        <v>189</v>
      </c>
      <c r="B88" s="9"/>
      <c r="C88" s="9"/>
      <c r="D88" s="9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</row>
    <row r="89" spans="1:115" x14ac:dyDescent="0.25">
      <c r="A89" s="2" t="s">
        <v>190</v>
      </c>
      <c r="B89" s="2" t="s">
        <v>92</v>
      </c>
      <c r="C89" s="2"/>
      <c r="D89" s="2" t="s">
        <v>191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</row>
    <row r="90" spans="1:115" x14ac:dyDescent="0.25">
      <c r="A90" s="2" t="s">
        <v>192</v>
      </c>
      <c r="B90" s="2" t="s">
        <v>92</v>
      </c>
      <c r="C90" s="2"/>
      <c r="D90" s="2" t="s">
        <v>193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</row>
    <row r="91" spans="1:115" x14ac:dyDescent="0.25">
      <c r="A91" s="2" t="s">
        <v>194</v>
      </c>
      <c r="B91" s="2" t="s">
        <v>140</v>
      </c>
      <c r="C91" s="2"/>
      <c r="D91" s="2" t="s">
        <v>195</v>
      </c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</row>
    <row r="92" spans="1:115" x14ac:dyDescent="0.25">
      <c r="A92" s="2" t="s">
        <v>196</v>
      </c>
      <c r="B92" s="2" t="s">
        <v>149</v>
      </c>
      <c r="C92" s="2"/>
      <c r="D92" s="2" t="s">
        <v>197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</row>
    <row r="93" spans="1:115" x14ac:dyDescent="0.25">
      <c r="A93" s="2" t="s">
        <v>198</v>
      </c>
      <c r="B93" s="2" t="s">
        <v>92</v>
      </c>
      <c r="C93" s="2"/>
      <c r="D93" s="2" t="s">
        <v>199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</row>
    <row r="94" spans="1:115" x14ac:dyDescent="0.25">
      <c r="A94" s="2" t="s">
        <v>200</v>
      </c>
      <c r="B94" s="2" t="s">
        <v>201</v>
      </c>
      <c r="C94" s="2"/>
      <c r="D94" s="2" t="s">
        <v>202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</row>
    <row r="95" spans="1:115" x14ac:dyDescent="0.25">
      <c r="A95" s="2" t="s">
        <v>203</v>
      </c>
      <c r="B95" s="2">
        <v>100</v>
      </c>
      <c r="C95" s="2" t="str">
        <f>INDEX(rngUnitSettings,MATCH("Length",INDEX(rngUnitSettings,,1),0),2)</f>
        <v>mm</v>
      </c>
      <c r="D95" s="2" t="s">
        <v>204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</row>
    <row r="96" spans="1:115" x14ac:dyDescent="0.25">
      <c r="A96" s="2" t="s">
        <v>205</v>
      </c>
      <c r="B96" s="2">
        <v>1</v>
      </c>
      <c r="C96" s="2" t="s">
        <v>35</v>
      </c>
      <c r="D96" s="2" t="s">
        <v>206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</row>
    <row r="97" spans="1:115" x14ac:dyDescent="0.25">
      <c r="A97" s="2" t="s">
        <v>207</v>
      </c>
      <c r="B97" s="2" t="s">
        <v>92</v>
      </c>
      <c r="C97" s="2"/>
      <c r="D97" s="2" t="s">
        <v>208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</row>
    <row r="98" spans="1:115" x14ac:dyDescent="0.25">
      <c r="A98" s="2" t="s">
        <v>209</v>
      </c>
      <c r="B98" s="2" t="s">
        <v>92</v>
      </c>
      <c r="C98" s="2"/>
      <c r="D98" s="2" t="s">
        <v>210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</row>
    <row r="99" spans="1:115" x14ac:dyDescent="0.25">
      <c r="A99" s="2" t="s">
        <v>211</v>
      </c>
      <c r="B99" s="2" t="s">
        <v>92</v>
      </c>
      <c r="C99" s="2"/>
      <c r="D99" s="2" t="s">
        <v>212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</row>
    <row r="100" spans="1:115" x14ac:dyDescent="0.25">
      <c r="A100" s="2" t="s">
        <v>213</v>
      </c>
      <c r="B100" s="2" t="s">
        <v>92</v>
      </c>
      <c r="C100" s="2"/>
      <c r="D100" s="2" t="s">
        <v>214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</row>
    <row r="101" spans="1:115" x14ac:dyDescent="0.25">
      <c r="A101" s="2" t="s">
        <v>215</v>
      </c>
      <c r="B101" s="2" t="s">
        <v>92</v>
      </c>
      <c r="C101" s="2"/>
      <c r="D101" s="2" t="s">
        <v>216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</row>
    <row r="102" spans="1:115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</row>
    <row r="103" spans="1:115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</row>
    <row r="104" spans="1:115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</row>
    <row r="105" spans="1:115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</row>
    <row r="106" spans="1:115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</row>
    <row r="107" spans="1:115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</row>
    <row r="108" spans="1:115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</row>
    <row r="109" spans="1:115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</row>
    <row r="110" spans="1:115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</row>
    <row r="111" spans="1:115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</row>
    <row r="112" spans="1:115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</row>
    <row r="113" spans="1:115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</row>
    <row r="114" spans="1:115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</row>
    <row r="115" spans="1:115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</row>
    <row r="116" spans="1:115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</row>
    <row r="117" spans="1:115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</row>
    <row r="118" spans="1:115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</row>
    <row r="119" spans="1:115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</row>
    <row r="120" spans="1:115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</row>
    <row r="121" spans="1:115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</row>
    <row r="122" spans="1:115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</row>
    <row r="123" spans="1:115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</row>
    <row r="124" spans="1:115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</row>
    <row r="125" spans="1:115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</row>
    <row r="126" spans="1:115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</row>
    <row r="127" spans="1:115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</row>
    <row r="128" spans="1:115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</row>
    <row r="129" spans="1:115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</row>
    <row r="130" spans="1:115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</row>
    <row r="131" spans="1:115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</row>
    <row r="132" spans="1:115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</row>
    <row r="133" spans="1:115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</row>
    <row r="134" spans="1:115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</row>
    <row r="135" spans="1:115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</row>
    <row r="136" spans="1:115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</row>
    <row r="137" spans="1:115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</row>
    <row r="138" spans="1:115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</row>
    <row r="139" spans="1:115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</row>
    <row r="140" spans="1:115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</row>
    <row r="141" spans="1:115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</row>
    <row r="142" spans="1:115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</row>
    <row r="143" spans="1:115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</row>
    <row r="144" spans="1:115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</row>
    <row r="145" spans="1:115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</row>
    <row r="146" spans="1:115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</row>
    <row r="147" spans="1:115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</row>
    <row r="148" spans="1:115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</row>
    <row r="149" spans="1:115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</row>
    <row r="150" spans="1:115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</row>
    <row r="151" spans="1:115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</row>
    <row r="152" spans="1:115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</row>
    <row r="153" spans="1:115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</row>
    <row r="154" spans="1:115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</row>
    <row r="155" spans="1:115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</row>
    <row r="156" spans="1:115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</row>
    <row r="157" spans="1:115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</row>
    <row r="158" spans="1:115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</row>
    <row r="159" spans="1:115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</row>
    <row r="160" spans="1:115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</row>
    <row r="161" spans="1:115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</row>
    <row r="162" spans="1:115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</row>
    <row r="163" spans="1:115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</row>
    <row r="164" spans="1:115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</row>
    <row r="165" spans="1:115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</row>
    <row r="166" spans="1:115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</row>
    <row r="167" spans="1:115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</row>
    <row r="168" spans="1:115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</row>
    <row r="169" spans="1:115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</row>
    <row r="170" spans="1:115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</row>
    <row r="171" spans="1:115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</row>
    <row r="172" spans="1:115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</row>
    <row r="173" spans="1:115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</row>
    <row r="174" spans="1:115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</row>
    <row r="175" spans="1:115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</row>
    <row r="176" spans="1:115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</row>
    <row r="177" spans="1:115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</row>
    <row r="178" spans="1:115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</row>
    <row r="179" spans="1:115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</row>
    <row r="180" spans="1:115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</row>
    <row r="181" spans="1:115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</row>
    <row r="182" spans="1:115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</row>
    <row r="183" spans="1:115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</row>
    <row r="184" spans="1:115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</row>
    <row r="185" spans="1:115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</row>
    <row r="186" spans="1:115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</row>
    <row r="187" spans="1:115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</row>
    <row r="188" spans="1:115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</row>
    <row r="189" spans="1:115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</row>
    <row r="190" spans="1:115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</row>
    <row r="191" spans="1:115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</row>
    <row r="192" spans="1:115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</row>
    <row r="193" spans="1:115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</row>
    <row r="194" spans="1:115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</row>
    <row r="195" spans="1:115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</row>
    <row r="196" spans="1:115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</row>
    <row r="197" spans="1:115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</row>
    <row r="198" spans="1:115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</row>
    <row r="199" spans="1:115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</row>
    <row r="200" spans="1:115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</row>
    <row r="201" spans="1:115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</row>
    <row r="202" spans="1:115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</row>
    <row r="203" spans="1:115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</row>
    <row r="204" spans="1:115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</row>
    <row r="205" spans="1:115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</row>
    <row r="206" spans="1:115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</row>
    <row r="207" spans="1:115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</row>
    <row r="208" spans="1:115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</row>
    <row r="209" spans="1:115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</row>
    <row r="210" spans="1:115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</row>
    <row r="211" spans="1:115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</row>
    <row r="212" spans="1:115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</row>
    <row r="213" spans="1:115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</row>
    <row r="214" spans="1:115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</row>
    <row r="215" spans="1:115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</row>
    <row r="216" spans="1:115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</row>
    <row r="217" spans="1:115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</row>
    <row r="218" spans="1:115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</row>
    <row r="219" spans="1:115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</row>
    <row r="220" spans="1:115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</row>
    <row r="221" spans="1:115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</row>
    <row r="222" spans="1:115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</row>
    <row r="223" spans="1:115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</row>
    <row r="224" spans="1:115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</row>
    <row r="225" spans="1:115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</row>
    <row r="226" spans="1:115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</row>
    <row r="227" spans="1:115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</row>
    <row r="228" spans="1:115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</row>
    <row r="229" spans="1:115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</row>
    <row r="230" spans="1:115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</row>
    <row r="231" spans="1:115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</row>
    <row r="232" spans="1:115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</row>
    <row r="233" spans="1:115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</row>
    <row r="234" spans="1:115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</row>
    <row r="235" spans="1:115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</row>
    <row r="236" spans="1:115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</row>
    <row r="237" spans="1:115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</row>
    <row r="238" spans="1:115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</row>
    <row r="239" spans="1:115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</row>
    <row r="240" spans="1:115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</row>
    <row r="241" spans="1:115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</row>
    <row r="242" spans="1:115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</row>
    <row r="243" spans="1:115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</row>
    <row r="244" spans="1:115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</row>
    <row r="245" spans="1:115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</row>
    <row r="246" spans="1:115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</row>
    <row r="247" spans="1:115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</row>
    <row r="248" spans="1:115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</row>
    <row r="249" spans="1:115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</row>
    <row r="250" spans="1:115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</row>
    <row r="251" spans="1:115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</row>
    <row r="252" spans="1:115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</row>
    <row r="253" spans="1:115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</row>
    <row r="254" spans="1:115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</row>
    <row r="255" spans="1:115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</row>
    <row r="256" spans="1:115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</row>
    <row r="257" spans="1:115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</row>
    <row r="258" spans="1:115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</row>
    <row r="259" spans="1:115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</row>
    <row r="260" spans="1:115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</row>
  </sheetData>
  <mergeCells count="8">
    <mergeCell ref="F29:L29"/>
    <mergeCell ref="F2:H2"/>
    <mergeCell ref="J2:L2"/>
    <mergeCell ref="N2:Q2"/>
    <mergeCell ref="N12:P12"/>
    <mergeCell ref="N19:R19"/>
    <mergeCell ref="F15:I15"/>
    <mergeCell ref="J15:M15"/>
  </mergeCells>
  <dataValidations count="40">
    <dataValidation type="list" showInputMessage="1" showErrorMessage="1" sqref="O4 Q4" xr:uid="{E1E4D354-73A7-4A2C-B2FE-41895481F6F5}">
      <formula1>$BR$1:$BR$3</formula1>
    </dataValidation>
    <dataValidation type="list" showInputMessage="1" showErrorMessage="1" sqref="O5 Q5" xr:uid="{C88CFB59-4CE5-444A-BFD8-6C66F297BC05}">
      <formula1>$BS$1:$BS$3</formula1>
    </dataValidation>
    <dataValidation type="list" showInputMessage="1" showErrorMessage="1" sqref="O6 Q6" xr:uid="{823CC681-EC91-43B1-96CA-95CBE08441FF}">
      <formula1>$BT$1:$BT$3</formula1>
    </dataValidation>
    <dataValidation type="list" showInputMessage="1" showErrorMessage="1" sqref="O7 Q7" xr:uid="{B0B6CED3-4504-4AE0-8122-06BBD7B77093}">
      <formula1>$BU$1:$BU$3</formula1>
    </dataValidation>
    <dataValidation type="list" showInputMessage="1" showErrorMessage="1" sqref="O8 Q8" xr:uid="{494AE571-748E-46B2-B304-34A96338A9AC}">
      <formula1>$BV$1:$BV$5</formula1>
    </dataValidation>
    <dataValidation type="list" showInputMessage="1" showErrorMessage="1" sqref="O9 Q9" xr:uid="{D0F43D28-8713-4578-BF76-8D7AB8DCE0B5}">
      <formula1>$BW$1:$BW$2</formula1>
    </dataValidation>
    <dataValidation type="list" showInputMessage="1" showErrorMessage="1" sqref="O14" xr:uid="{68B4713A-D206-4EE4-9362-F3507C2F21BA}">
      <formula1>$BX$1:$BX$2</formula1>
    </dataValidation>
    <dataValidation type="list" showInputMessage="1" showErrorMessage="1" sqref="O15" xr:uid="{85B625E0-3E60-42BE-91A4-0DD20743B3ED}">
      <formula1>$BY$1:$BY$2</formula1>
    </dataValidation>
    <dataValidation type="list" showInputMessage="1" showErrorMessage="1" sqref="O16" xr:uid="{B9ABFE48-97EC-4722-91F7-560A67351AFC}">
      <formula1>$BZ$1:$BZ$2</formula1>
    </dataValidation>
    <dataValidation type="list" allowBlank="1" showInputMessage="1" showErrorMessage="1" sqref="G24 G25" xr:uid="{DA8807C5-2748-4798-82E5-06A029585842}">
      <formula1>$BI$1:$BI$2</formula1>
    </dataValidation>
    <dataValidation type="list" allowBlank="1" showInputMessage="1" showErrorMessage="1" sqref="G47 H47 I47 J47 G48 H48 I48 J48" xr:uid="{4E1553D9-31D6-45C1-ADB7-AF54464CD372}">
      <formula1>$BH$1:$BH$2</formula1>
    </dataValidation>
    <dataValidation type="list" allowBlank="1" showInputMessage="1" showErrorMessage="1" sqref="B5" xr:uid="{90A805A3-085E-4F2E-BFF2-3CF5A051C96F}">
      <formula1>$CB$1:$CB$2</formula1>
    </dataValidation>
    <dataValidation type="list" allowBlank="1" showInputMessage="1" showErrorMessage="1" sqref="B6" xr:uid="{15990FD0-2A3C-41F3-966A-2B5FEEFE6F4F}">
      <formula1>$CC$1:$CC$3</formula1>
    </dataValidation>
    <dataValidation type="list" allowBlank="1" showInputMessage="1" showErrorMessage="1" sqref="B19" xr:uid="{462247D4-2F0E-4D79-ABCE-E036C20D941F}">
      <formula1>$CD$1:$CD$2</formula1>
    </dataValidation>
    <dataValidation type="list" allowBlank="1" showInputMessage="1" showErrorMessage="1" sqref="B31" xr:uid="{3C3C75C0-C9C9-45AE-86EE-175FDB8C6D80}">
      <formula1>$CE$1:$CE$2</formula1>
    </dataValidation>
    <dataValidation type="list" allowBlank="1" showInputMessage="1" showErrorMessage="1" sqref="B32" xr:uid="{C6E8D907-9C4E-436B-A14C-7D2CC66BBC03}">
      <formula1>$CF$1:$CF$2</formula1>
    </dataValidation>
    <dataValidation type="list" allowBlank="1" showInputMessage="1" showErrorMessage="1" sqref="B47" xr:uid="{BFB17C94-469B-42C1-A730-8ABBB511FF23}">
      <formula1>$CG$1:$CG$2</formula1>
    </dataValidation>
    <dataValidation type="list" allowBlank="1" showInputMessage="1" showErrorMessage="1" sqref="B48" xr:uid="{E9F22DA7-9F0E-4F00-B48A-6EC3A67957E0}">
      <formula1>$CH$1:$CH$3</formula1>
    </dataValidation>
    <dataValidation type="list" allowBlank="1" showInputMessage="1" showErrorMessage="1" sqref="B38" xr:uid="{7638E4C5-96AA-4042-BBC4-AB1E9A8A8A9E}">
      <formula1>$CI$1:$CI$2</formula1>
    </dataValidation>
    <dataValidation type="list" allowBlank="1" showInputMessage="1" showErrorMessage="1" sqref="B58" xr:uid="{51BF608D-C051-4D53-988D-1DEDD96EC843}">
      <formula1>$CJ$1:$CJ$2</formula1>
    </dataValidation>
    <dataValidation type="list" allowBlank="1" showInputMessage="1" showErrorMessage="1" sqref="B69" xr:uid="{EC747456-40E6-4178-847F-66D28CDDDF9C}">
      <formula1>$CK$1:$CK$2</formula1>
    </dataValidation>
    <dataValidation type="list" allowBlank="1" showInputMessage="1" showErrorMessage="1" sqref="B70" xr:uid="{642F8B0F-CF18-488C-BABB-59DCE7457DFC}">
      <formula1>$CL$1:$CL$2</formula1>
    </dataValidation>
    <dataValidation type="list" allowBlank="1" showInputMessage="1" showErrorMessage="1" sqref="B66" xr:uid="{8F3A7D22-D55E-4363-9E86-08EAF46C8729}">
      <formula1>$CM$1:$CM$2</formula1>
    </dataValidation>
    <dataValidation type="list" allowBlank="1" showInputMessage="1" showErrorMessage="1" sqref="B67" xr:uid="{220CE9EA-EA5A-437A-A84D-2AB418A4E81C}">
      <formula1>$CN$1:$CN$2</formula1>
    </dataValidation>
    <dataValidation type="list" allowBlank="1" showInputMessage="1" showErrorMessage="1" sqref="B68" xr:uid="{55712CE2-8549-4A57-9583-48EFCFE53DCF}">
      <formula1>$CO$1:$CO$2</formula1>
    </dataValidation>
    <dataValidation type="list" allowBlank="1" showInputMessage="1" showErrorMessage="1" sqref="B89" xr:uid="{2830B416-D4B4-4757-AEDB-A5CDEDD2B5F4}">
      <formula1>$CP$1:$CP$2</formula1>
    </dataValidation>
    <dataValidation type="list" allowBlank="1" showInputMessage="1" showErrorMessage="1" sqref="B90" xr:uid="{BB2C6406-54ED-47F3-AE38-DA989EFD7195}">
      <formula1>$CQ$1:$CQ$2</formula1>
    </dataValidation>
    <dataValidation type="list" allowBlank="1" showInputMessage="1" showErrorMessage="1" sqref="B92" xr:uid="{113FAB75-D93C-4422-945E-4FDE4DF9608B}">
      <formula1>$CR$1:$CR$2</formula1>
    </dataValidation>
    <dataValidation type="list" allowBlank="1" showInputMessage="1" showErrorMessage="1" sqref="B93" xr:uid="{2ABC378D-4FC7-4DF6-8303-3112C9809383}">
      <formula1>$CS$1:$CS$2</formula1>
    </dataValidation>
    <dataValidation type="list" allowBlank="1" showInputMessage="1" showErrorMessage="1" sqref="B94" xr:uid="{1DC782B5-5FC0-4926-BFFD-3769E32B3A08}">
      <formula1>$CT$1:$CT$2</formula1>
    </dataValidation>
    <dataValidation type="list" allowBlank="1" showInputMessage="1" showErrorMessage="1" sqref="B97" xr:uid="{575315D2-A63A-4E1B-87BD-A64614F976C9}">
      <formula1>$CU$1:$CU$2</formula1>
    </dataValidation>
    <dataValidation type="list" allowBlank="1" showInputMessage="1" showErrorMessage="1" sqref="B98" xr:uid="{2E731350-EB7E-49D9-AE6F-2A66B9F456AB}">
      <formula1>$CV$1:$CV$2</formula1>
    </dataValidation>
    <dataValidation type="list" allowBlank="1" showInputMessage="1" showErrorMessage="1" sqref="B99" xr:uid="{C54E874B-394B-411A-9B11-396289B5FA66}">
      <formula1>$CW$1:$CW$2</formula1>
    </dataValidation>
    <dataValidation type="list" allowBlank="1" showInputMessage="1" showErrorMessage="1" sqref="B100" xr:uid="{AB44B0F8-3EC1-4DB5-A1A7-12047EE6445D}">
      <formula1>$CX$1:$CX$2</formula1>
    </dataValidation>
    <dataValidation type="list" allowBlank="1" showInputMessage="1" showErrorMessage="1" sqref="B101" xr:uid="{3D6E0D6D-5ACD-4DA5-9EA0-EE30E7EFD541}">
      <formula1>$CY$1:$CY$2</formula1>
    </dataValidation>
    <dataValidation type="list" showInputMessage="1" showErrorMessage="1" sqref="B65 B91" xr:uid="{79A1949C-6C6B-4CE2-A955-AC7F4268DCE1}">
      <formula1>$CZ$1:$CZ$21</formula1>
    </dataValidation>
    <dataValidation type="list" showInputMessage="1" showErrorMessage="1" sqref="O24 O21:P21" xr:uid="{B127D569-79D7-4C84-AD09-0D333C44B42D}">
      <formula1>$DF$1:$DF$2</formula1>
    </dataValidation>
    <dataValidation type="list" showInputMessage="1" showErrorMessage="1" sqref="O22:P22" xr:uid="{93DB9BF3-3590-4738-BE2D-9645C7D0656B}">
      <formula1>$DG$1:$DG$2</formula1>
    </dataValidation>
    <dataValidation type="list" showInputMessage="1" showErrorMessage="1" sqref="P29" xr:uid="{2F70477F-A896-4C38-BCA9-290B7B9978D6}">
      <formula1>$DH$1:$DH$5</formula1>
    </dataValidation>
    <dataValidation type="list" showInputMessage="1" showErrorMessage="1" sqref="P30" xr:uid="{BB258782-39DD-4B91-86F5-76ECC44AC62A}">
      <formula1>$DI$1:$DI$3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31161-7EF5-469F-81D8-422764CBACDA}">
  <sheetPr codeName="Лист3"/>
  <dimension ref="A1:AY801"/>
  <sheetViews>
    <sheetView workbookViewId="0"/>
  </sheetViews>
  <sheetFormatPr defaultRowHeight="15" x14ac:dyDescent="0.25"/>
  <cols>
    <col min="1" max="1" width="20.7109375" customWidth="1"/>
    <col min="10" max="10" width="20.7109375" customWidth="1"/>
    <col min="29" max="29" width="20.7109375" customWidth="1"/>
    <col min="38" max="38" width="20.7109375" customWidth="1"/>
  </cols>
  <sheetData>
    <row r="1" spans="1:14" x14ac:dyDescent="0.25">
      <c r="A1" s="1" t="s">
        <v>385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t="s">
        <v>386</v>
      </c>
      <c r="B2">
        <v>1</v>
      </c>
    </row>
    <row r="3" spans="1:14" x14ac:dyDescent="0.25">
      <c r="A3" t="s">
        <v>387</v>
      </c>
    </row>
    <row r="4" spans="1:14" x14ac:dyDescent="0.25">
      <c r="A4" t="s">
        <v>388</v>
      </c>
      <c r="B4">
        <v>0.125</v>
      </c>
    </row>
    <row r="5" spans="1:14" x14ac:dyDescent="0.25">
      <c r="A5" t="s">
        <v>389</v>
      </c>
      <c r="B5" t="s">
        <v>775</v>
      </c>
      <c r="C5" t="s">
        <v>776</v>
      </c>
    </row>
    <row r="6" spans="1:14" x14ac:dyDescent="0.25">
      <c r="A6" t="s">
        <v>1</v>
      </c>
      <c r="B6" t="s">
        <v>390</v>
      </c>
      <c r="C6" t="s">
        <v>391</v>
      </c>
      <c r="D6" t="s">
        <v>392</v>
      </c>
      <c r="E6" t="s">
        <v>393</v>
      </c>
      <c r="F6" t="s">
        <v>394</v>
      </c>
      <c r="G6" t="s">
        <v>395</v>
      </c>
      <c r="H6" t="s">
        <v>396</v>
      </c>
      <c r="I6" t="s">
        <v>397</v>
      </c>
      <c r="J6" t="s">
        <v>398</v>
      </c>
      <c r="K6" t="s">
        <v>399</v>
      </c>
      <c r="L6" t="s">
        <v>400</v>
      </c>
      <c r="M6" t="s">
        <v>401</v>
      </c>
      <c r="N6" t="s">
        <v>402</v>
      </c>
    </row>
    <row r="7" spans="1:14" x14ac:dyDescent="0.25">
      <c r="A7">
        <v>1</v>
      </c>
      <c r="C7" t="s">
        <v>403</v>
      </c>
      <c r="D7" t="s">
        <v>403</v>
      </c>
      <c r="E7" t="s">
        <v>404</v>
      </c>
      <c r="F7" t="s">
        <v>405</v>
      </c>
      <c r="G7" t="s">
        <v>403</v>
      </c>
      <c r="H7">
        <v>3.0882960461511355</v>
      </c>
      <c r="I7">
        <v>0.32380315392569781</v>
      </c>
      <c r="J7">
        <v>4.2083496697257816</v>
      </c>
      <c r="K7">
        <v>0.12785589398373307</v>
      </c>
      <c r="L7">
        <v>0.42618631327911022</v>
      </c>
      <c r="M7">
        <v>0.42618631327911022</v>
      </c>
      <c r="N7" t="s">
        <v>406</v>
      </c>
    </row>
    <row r="32" spans="1:51" x14ac:dyDescent="0.25">
      <c r="A32" s="1" t="s">
        <v>407</v>
      </c>
      <c r="B32" s="1" t="s">
        <v>576</v>
      </c>
      <c r="C32" s="1" t="s">
        <v>408</v>
      </c>
      <c r="D32" s="1" t="s">
        <v>219</v>
      </c>
      <c r="E32" s="1" t="s">
        <v>577</v>
      </c>
      <c r="F32" s="1" t="s">
        <v>578</v>
      </c>
      <c r="J32" s="1" t="s">
        <v>407</v>
      </c>
      <c r="K32" s="1" t="s">
        <v>408</v>
      </c>
      <c r="L32" s="1" t="s">
        <v>409</v>
      </c>
      <c r="M32" s="1" t="s">
        <v>410</v>
      </c>
      <c r="N32" s="1" t="s">
        <v>411</v>
      </c>
      <c r="O32" s="1" t="s">
        <v>412</v>
      </c>
      <c r="P32" s="1" t="s">
        <v>413</v>
      </c>
      <c r="Q32" s="1" t="s">
        <v>414</v>
      </c>
      <c r="R32" s="1" t="s">
        <v>415</v>
      </c>
      <c r="S32" s="1" t="s">
        <v>416</v>
      </c>
      <c r="T32" s="1" t="s">
        <v>417</v>
      </c>
      <c r="U32" s="1" t="s">
        <v>418</v>
      </c>
      <c r="V32" s="1" t="s">
        <v>419</v>
      </c>
      <c r="W32" s="1" t="s">
        <v>420</v>
      </c>
      <c r="X32" s="1" t="s">
        <v>421</v>
      </c>
      <c r="Y32" s="1" t="s">
        <v>7</v>
      </c>
      <c r="AC32" s="1" t="s">
        <v>407</v>
      </c>
      <c r="AD32" s="1" t="s">
        <v>576</v>
      </c>
      <c r="AE32" s="1" t="s">
        <v>580</v>
      </c>
      <c r="AF32" s="1" t="s">
        <v>581</v>
      </c>
      <c r="AG32" s="1" t="s">
        <v>582</v>
      </c>
      <c r="AH32" s="1" t="s">
        <v>7</v>
      </c>
      <c r="AL32" s="1" t="s">
        <v>407</v>
      </c>
      <c r="AM32" s="1" t="s">
        <v>647</v>
      </c>
      <c r="AN32" s="1" t="s">
        <v>648</v>
      </c>
      <c r="AO32" s="1" t="s">
        <v>649</v>
      </c>
      <c r="AP32" s="1" t="s">
        <v>650</v>
      </c>
      <c r="AQ32" s="1" t="s">
        <v>651</v>
      </c>
      <c r="AR32" s="1" t="s">
        <v>652</v>
      </c>
      <c r="AS32" s="1" t="s">
        <v>653</v>
      </c>
      <c r="AT32" s="1" t="s">
        <v>654</v>
      </c>
      <c r="AU32" s="1" t="s">
        <v>269</v>
      </c>
      <c r="AV32" s="1" t="s">
        <v>655</v>
      </c>
      <c r="AW32" s="1" t="s">
        <v>581</v>
      </c>
      <c r="AX32" s="1" t="s">
        <v>582</v>
      </c>
      <c r="AY32" s="1" t="s">
        <v>7</v>
      </c>
    </row>
    <row r="33" spans="1:51" x14ac:dyDescent="0.25">
      <c r="A33" s="18">
        <v>46255.942372685182</v>
      </c>
      <c r="B33">
        <v>1</v>
      </c>
      <c r="C33" t="s">
        <v>422</v>
      </c>
      <c r="D33">
        <v>-8.316799398059672E-4</v>
      </c>
      <c r="E33">
        <v>-8.5940260446616605</v>
      </c>
      <c r="F33" t="s">
        <v>252</v>
      </c>
      <c r="J33" s="18">
        <v>46255.942372685182</v>
      </c>
      <c r="K33" t="s">
        <v>422</v>
      </c>
      <c r="L33" t="s">
        <v>155</v>
      </c>
      <c r="M33" t="s">
        <v>43</v>
      </c>
      <c r="N33">
        <v>20</v>
      </c>
      <c r="O33">
        <v>20</v>
      </c>
      <c r="P33">
        <v>1600</v>
      </c>
      <c r="Q33" t="s">
        <v>423</v>
      </c>
      <c r="R33">
        <v>40</v>
      </c>
      <c r="S33">
        <v>40</v>
      </c>
      <c r="U33">
        <v>0</v>
      </c>
      <c r="V33">
        <v>0</v>
      </c>
      <c r="W33">
        <v>0</v>
      </c>
      <c r="X33">
        <v>0</v>
      </c>
      <c r="Y33" t="s">
        <v>424</v>
      </c>
      <c r="AC33" s="18">
        <v>46255.942372685182</v>
      </c>
      <c r="AD33" t="s">
        <v>583</v>
      </c>
      <c r="AE33" t="s">
        <v>584</v>
      </c>
      <c r="AF33">
        <v>0</v>
      </c>
      <c r="AG33" t="s">
        <v>227</v>
      </c>
      <c r="AH33" t="s">
        <v>585</v>
      </c>
      <c r="AL33" s="18">
        <v>46255.942372685182</v>
      </c>
      <c r="AM33" t="s">
        <v>656</v>
      </c>
      <c r="AN33" t="s">
        <v>657</v>
      </c>
      <c r="AO33">
        <v>0</v>
      </c>
      <c r="AP33">
        <v>0</v>
      </c>
      <c r="AQ33">
        <v>600</v>
      </c>
      <c r="AR33">
        <v>0</v>
      </c>
      <c r="AY33" t="s">
        <v>658</v>
      </c>
    </row>
    <row r="34" spans="1:51" x14ac:dyDescent="0.25">
      <c r="A34" s="18">
        <v>46255.942372685182</v>
      </c>
      <c r="B34">
        <v>1</v>
      </c>
      <c r="C34" t="s">
        <v>425</v>
      </c>
      <c r="D34">
        <v>-7.9024256861406287E-4</v>
      </c>
      <c r="E34">
        <v>-8.1658398756786497</v>
      </c>
      <c r="F34" t="s">
        <v>252</v>
      </c>
      <c r="J34" s="18">
        <v>46255.942372685182</v>
      </c>
      <c r="K34" t="s">
        <v>425</v>
      </c>
      <c r="L34" t="s">
        <v>155</v>
      </c>
      <c r="M34" t="s">
        <v>43</v>
      </c>
      <c r="N34">
        <v>60</v>
      </c>
      <c r="O34">
        <v>20</v>
      </c>
      <c r="P34">
        <v>1600</v>
      </c>
      <c r="Q34" t="s">
        <v>423</v>
      </c>
      <c r="R34">
        <v>40</v>
      </c>
      <c r="S34">
        <v>40</v>
      </c>
      <c r="U34">
        <v>0</v>
      </c>
      <c r="V34">
        <v>0</v>
      </c>
      <c r="W34">
        <v>0</v>
      </c>
      <c r="X34">
        <v>0</v>
      </c>
      <c r="Y34" t="s">
        <v>424</v>
      </c>
      <c r="AC34" s="18">
        <v>46255.942372685182</v>
      </c>
      <c r="AD34" t="s">
        <v>583</v>
      </c>
      <c r="AE34" t="s">
        <v>586</v>
      </c>
      <c r="AF34">
        <v>600</v>
      </c>
      <c r="AG34" t="s">
        <v>227</v>
      </c>
      <c r="AH34" t="s">
        <v>587</v>
      </c>
      <c r="AL34" s="18">
        <v>46255.942372685182</v>
      </c>
      <c r="AM34" t="s">
        <v>656</v>
      </c>
      <c r="AN34" t="s">
        <v>659</v>
      </c>
      <c r="AO34">
        <v>600</v>
      </c>
      <c r="AP34">
        <v>0</v>
      </c>
      <c r="AQ34">
        <v>600</v>
      </c>
      <c r="AR34">
        <v>240</v>
      </c>
      <c r="AY34" t="s">
        <v>658</v>
      </c>
    </row>
    <row r="35" spans="1:51" x14ac:dyDescent="0.25">
      <c r="A35" s="18">
        <v>46255.942372685182</v>
      </c>
      <c r="B35">
        <v>1</v>
      </c>
      <c r="C35" t="s">
        <v>426</v>
      </c>
      <c r="D35">
        <v>-7.4880519742215855E-4</v>
      </c>
      <c r="E35">
        <v>-7.7376537066956379</v>
      </c>
      <c r="F35" t="s">
        <v>252</v>
      </c>
      <c r="J35" s="18">
        <v>46255.942372685182</v>
      </c>
      <c r="K35" t="s">
        <v>426</v>
      </c>
      <c r="L35" t="s">
        <v>155</v>
      </c>
      <c r="M35" t="s">
        <v>43</v>
      </c>
      <c r="N35">
        <v>100</v>
      </c>
      <c r="O35">
        <v>20</v>
      </c>
      <c r="P35">
        <v>1600</v>
      </c>
      <c r="Q35" t="s">
        <v>423</v>
      </c>
      <c r="R35">
        <v>40</v>
      </c>
      <c r="S35">
        <v>40</v>
      </c>
      <c r="U35">
        <v>0</v>
      </c>
      <c r="V35">
        <v>0</v>
      </c>
      <c r="W35">
        <v>0</v>
      </c>
      <c r="X35">
        <v>0</v>
      </c>
      <c r="Y35" t="s">
        <v>424</v>
      </c>
      <c r="AC35" s="18">
        <v>46255.942372685182</v>
      </c>
      <c r="AD35" t="s">
        <v>583</v>
      </c>
      <c r="AE35" t="s">
        <v>588</v>
      </c>
      <c r="AF35">
        <v>0</v>
      </c>
      <c r="AG35" t="s">
        <v>227</v>
      </c>
      <c r="AH35" t="s">
        <v>589</v>
      </c>
      <c r="AL35" s="18">
        <v>46255.942372685182</v>
      </c>
      <c r="AM35" t="s">
        <v>656</v>
      </c>
      <c r="AN35" t="s">
        <v>660</v>
      </c>
      <c r="AO35">
        <v>600</v>
      </c>
      <c r="AP35">
        <v>240</v>
      </c>
      <c r="AQ35">
        <v>240</v>
      </c>
      <c r="AR35">
        <v>240</v>
      </c>
      <c r="AY35" t="s">
        <v>658</v>
      </c>
    </row>
    <row r="36" spans="1:51" x14ac:dyDescent="0.25">
      <c r="A36" s="18">
        <v>46255.942372685182</v>
      </c>
      <c r="B36">
        <v>1</v>
      </c>
      <c r="C36" t="s">
        <v>427</v>
      </c>
      <c r="D36">
        <v>-7.0736782623025433E-4</v>
      </c>
      <c r="E36">
        <v>-7.3094675377126279</v>
      </c>
      <c r="F36" t="s">
        <v>252</v>
      </c>
      <c r="J36" s="18">
        <v>46255.942372685182</v>
      </c>
      <c r="K36" t="s">
        <v>427</v>
      </c>
      <c r="L36" t="s">
        <v>155</v>
      </c>
      <c r="M36" t="s">
        <v>43</v>
      </c>
      <c r="N36">
        <v>140</v>
      </c>
      <c r="O36">
        <v>20</v>
      </c>
      <c r="P36">
        <v>1600</v>
      </c>
      <c r="Q36" t="s">
        <v>423</v>
      </c>
      <c r="R36">
        <v>40</v>
      </c>
      <c r="S36">
        <v>40</v>
      </c>
      <c r="U36">
        <v>0</v>
      </c>
      <c r="V36">
        <v>0</v>
      </c>
      <c r="W36">
        <v>0</v>
      </c>
      <c r="X36">
        <v>0</v>
      </c>
      <c r="Y36" t="s">
        <v>424</v>
      </c>
      <c r="AC36" s="18">
        <v>46255.942372685182</v>
      </c>
      <c r="AD36" t="s">
        <v>583</v>
      </c>
      <c r="AE36" t="s">
        <v>590</v>
      </c>
      <c r="AF36">
        <v>800</v>
      </c>
      <c r="AG36" t="s">
        <v>227</v>
      </c>
      <c r="AH36" t="s">
        <v>591</v>
      </c>
      <c r="AL36" s="18">
        <v>46255.942372685182</v>
      </c>
      <c r="AM36" t="s">
        <v>656</v>
      </c>
      <c r="AN36" t="s">
        <v>661</v>
      </c>
      <c r="AO36">
        <v>240</v>
      </c>
      <c r="AP36">
        <v>240</v>
      </c>
      <c r="AQ36">
        <v>240</v>
      </c>
      <c r="AR36">
        <v>800</v>
      </c>
      <c r="AY36" t="s">
        <v>658</v>
      </c>
    </row>
    <row r="37" spans="1:51" x14ac:dyDescent="0.25">
      <c r="A37" s="18">
        <v>46255.942372685182</v>
      </c>
      <c r="B37">
        <v>1</v>
      </c>
      <c r="C37" t="s">
        <v>428</v>
      </c>
      <c r="D37">
        <v>-6.6593045503835001E-4</v>
      </c>
      <c r="E37">
        <v>-6.8812813687296162</v>
      </c>
      <c r="F37" t="s">
        <v>252</v>
      </c>
      <c r="J37" s="18">
        <v>46255.942372685182</v>
      </c>
      <c r="K37" t="s">
        <v>428</v>
      </c>
      <c r="L37" t="s">
        <v>155</v>
      </c>
      <c r="M37" t="s">
        <v>43</v>
      </c>
      <c r="N37">
        <v>180</v>
      </c>
      <c r="O37">
        <v>20</v>
      </c>
      <c r="P37">
        <v>1600</v>
      </c>
      <c r="Q37" t="s">
        <v>423</v>
      </c>
      <c r="R37">
        <v>40</v>
      </c>
      <c r="S37">
        <v>40</v>
      </c>
      <c r="U37">
        <v>0</v>
      </c>
      <c r="V37">
        <v>0</v>
      </c>
      <c r="W37">
        <v>0</v>
      </c>
      <c r="X37">
        <v>0</v>
      </c>
      <c r="Y37" t="s">
        <v>424</v>
      </c>
      <c r="AC37" s="18">
        <v>46255.942372685182</v>
      </c>
      <c r="AD37" t="s">
        <v>583</v>
      </c>
      <c r="AE37" t="s">
        <v>592</v>
      </c>
      <c r="AF37">
        <v>212.74286882176489</v>
      </c>
      <c r="AG37" t="s">
        <v>227</v>
      </c>
      <c r="AH37" t="s">
        <v>593</v>
      </c>
      <c r="AL37" s="18">
        <v>46255.942372685182</v>
      </c>
      <c r="AM37" t="s">
        <v>656</v>
      </c>
      <c r="AN37" t="s">
        <v>662</v>
      </c>
      <c r="AO37">
        <v>240</v>
      </c>
      <c r="AP37">
        <v>800</v>
      </c>
      <c r="AQ37">
        <v>0</v>
      </c>
      <c r="AR37">
        <v>800</v>
      </c>
      <c r="AY37" t="s">
        <v>658</v>
      </c>
    </row>
    <row r="38" spans="1:51" x14ac:dyDescent="0.25">
      <c r="A38" s="18">
        <v>46255.942372685182</v>
      </c>
      <c r="B38">
        <v>1</v>
      </c>
      <c r="C38" t="s">
        <v>429</v>
      </c>
      <c r="D38">
        <v>-6.2449308384644568E-4</v>
      </c>
      <c r="E38">
        <v>-6.4530951997466053</v>
      </c>
      <c r="F38" t="s">
        <v>252</v>
      </c>
      <c r="J38" s="18">
        <v>46255.942372685182</v>
      </c>
      <c r="K38" t="s">
        <v>429</v>
      </c>
      <c r="L38" t="s">
        <v>155</v>
      </c>
      <c r="M38" t="s">
        <v>43</v>
      </c>
      <c r="N38">
        <v>220</v>
      </c>
      <c r="O38">
        <v>20</v>
      </c>
      <c r="P38">
        <v>1600</v>
      </c>
      <c r="Q38" t="s">
        <v>423</v>
      </c>
      <c r="R38">
        <v>40</v>
      </c>
      <c r="S38">
        <v>40</v>
      </c>
      <c r="U38">
        <v>0</v>
      </c>
      <c r="V38">
        <v>0</v>
      </c>
      <c r="W38">
        <v>0</v>
      </c>
      <c r="X38">
        <v>0</v>
      </c>
      <c r="Y38" t="s">
        <v>424</v>
      </c>
      <c r="AC38" s="18">
        <v>46255.942372685182</v>
      </c>
      <c r="AD38" t="s">
        <v>583</v>
      </c>
      <c r="AE38" t="s">
        <v>594</v>
      </c>
      <c r="AF38">
        <v>320.21201465663637</v>
      </c>
      <c r="AG38" t="s">
        <v>227</v>
      </c>
      <c r="AH38" t="s">
        <v>593</v>
      </c>
      <c r="AL38" s="18">
        <v>46255.942372685182</v>
      </c>
      <c r="AM38" t="s">
        <v>656</v>
      </c>
      <c r="AN38" t="s">
        <v>663</v>
      </c>
      <c r="AO38">
        <v>0</v>
      </c>
      <c r="AP38">
        <v>800</v>
      </c>
      <c r="AQ38">
        <v>0</v>
      </c>
      <c r="AR38">
        <v>0</v>
      </c>
      <c r="AY38" t="s">
        <v>658</v>
      </c>
    </row>
    <row r="39" spans="1:51" x14ac:dyDescent="0.25">
      <c r="A39" s="18">
        <v>46255.942372685182</v>
      </c>
      <c r="B39">
        <v>1</v>
      </c>
      <c r="C39" t="s">
        <v>430</v>
      </c>
      <c r="D39">
        <v>-5.8305571265454136E-4</v>
      </c>
      <c r="E39">
        <v>-6.0249090307635935</v>
      </c>
      <c r="F39" t="s">
        <v>252</v>
      </c>
      <c r="J39" s="18">
        <v>46255.942372685182</v>
      </c>
      <c r="K39" t="s">
        <v>430</v>
      </c>
      <c r="L39" t="s">
        <v>155</v>
      </c>
      <c r="M39" t="s">
        <v>43</v>
      </c>
      <c r="N39">
        <v>260</v>
      </c>
      <c r="O39">
        <v>20</v>
      </c>
      <c r="P39">
        <v>1600</v>
      </c>
      <c r="Q39" t="s">
        <v>423</v>
      </c>
      <c r="R39">
        <v>40</v>
      </c>
      <c r="S39">
        <v>40</v>
      </c>
      <c r="U39">
        <v>0</v>
      </c>
      <c r="V39">
        <v>0</v>
      </c>
      <c r="W39">
        <v>0</v>
      </c>
      <c r="X39">
        <v>0</v>
      </c>
      <c r="Y39" t="s">
        <v>424</v>
      </c>
      <c r="AC39" s="18">
        <v>46255.942372685182</v>
      </c>
      <c r="AD39" t="s">
        <v>583</v>
      </c>
      <c r="AE39" t="s">
        <v>595</v>
      </c>
      <c r="AF39">
        <v>1.1279670804607853</v>
      </c>
      <c r="AG39" t="s">
        <v>596</v>
      </c>
      <c r="AH39" t="s">
        <v>597</v>
      </c>
      <c r="AL39" s="18">
        <v>46255.942372685182</v>
      </c>
      <c r="AM39" t="s">
        <v>664</v>
      </c>
      <c r="AN39" t="s">
        <v>665</v>
      </c>
      <c r="AO39">
        <v>0</v>
      </c>
      <c r="AP39">
        <v>0</v>
      </c>
      <c r="AQ39">
        <v>600</v>
      </c>
      <c r="AR39">
        <v>0</v>
      </c>
      <c r="AS39">
        <v>0</v>
      </c>
      <c r="AT39">
        <v>-1</v>
      </c>
      <c r="AU39">
        <v>96</v>
      </c>
      <c r="AV39" t="s">
        <v>666</v>
      </c>
      <c r="AW39">
        <v>600</v>
      </c>
      <c r="AX39" t="s">
        <v>227</v>
      </c>
      <c r="AY39" t="s">
        <v>667</v>
      </c>
    </row>
    <row r="40" spans="1:51" x14ac:dyDescent="0.25">
      <c r="A40" s="18">
        <v>46255.942372685182</v>
      </c>
      <c r="B40">
        <v>1</v>
      </c>
      <c r="C40" t="s">
        <v>431</v>
      </c>
      <c r="D40">
        <v>-5.4161834146263703E-4</v>
      </c>
      <c r="E40">
        <v>-5.5967228617805826</v>
      </c>
      <c r="F40" t="s">
        <v>252</v>
      </c>
      <c r="J40" s="18">
        <v>46255.942372685182</v>
      </c>
      <c r="K40" t="s">
        <v>431</v>
      </c>
      <c r="L40" t="s">
        <v>155</v>
      </c>
      <c r="M40" t="s">
        <v>43</v>
      </c>
      <c r="N40">
        <v>300</v>
      </c>
      <c r="O40">
        <v>20</v>
      </c>
      <c r="P40">
        <v>1600</v>
      </c>
      <c r="Q40" t="s">
        <v>423</v>
      </c>
      <c r="R40">
        <v>40</v>
      </c>
      <c r="S40">
        <v>40</v>
      </c>
      <c r="U40">
        <v>0</v>
      </c>
      <c r="V40">
        <v>0</v>
      </c>
      <c r="W40">
        <v>0</v>
      </c>
      <c r="X40">
        <v>0</v>
      </c>
      <c r="Y40" t="s">
        <v>424</v>
      </c>
      <c r="AC40" s="18">
        <v>46255.942372685182</v>
      </c>
      <c r="AD40" t="s">
        <v>583</v>
      </c>
      <c r="AE40" t="s">
        <v>598</v>
      </c>
      <c r="AF40">
        <v>464009525618573.25</v>
      </c>
      <c r="AG40" t="s">
        <v>599</v>
      </c>
      <c r="AH40" t="s">
        <v>600</v>
      </c>
      <c r="AL40" s="18">
        <v>46255.942372685182</v>
      </c>
      <c r="AM40" t="s">
        <v>664</v>
      </c>
      <c r="AN40" t="s">
        <v>668</v>
      </c>
      <c r="AO40">
        <v>0</v>
      </c>
      <c r="AP40">
        <v>0</v>
      </c>
      <c r="AQ40">
        <v>0</v>
      </c>
      <c r="AR40">
        <v>800</v>
      </c>
      <c r="AS40">
        <v>-1</v>
      </c>
      <c r="AT40">
        <v>0</v>
      </c>
      <c r="AU40">
        <v>96</v>
      </c>
      <c r="AV40" t="s">
        <v>669</v>
      </c>
      <c r="AW40">
        <v>800</v>
      </c>
      <c r="AX40" t="s">
        <v>227</v>
      </c>
      <c r="AY40" t="s">
        <v>670</v>
      </c>
    </row>
    <row r="41" spans="1:51" x14ac:dyDescent="0.25">
      <c r="A41" s="18">
        <v>46255.942372685182</v>
      </c>
      <c r="B41">
        <v>1</v>
      </c>
      <c r="C41" t="s">
        <v>432</v>
      </c>
      <c r="D41">
        <v>-5.0018097027073271E-4</v>
      </c>
      <c r="E41">
        <v>-5.1685366927975709</v>
      </c>
      <c r="F41" t="s">
        <v>252</v>
      </c>
      <c r="J41" s="18">
        <v>46255.942372685182</v>
      </c>
      <c r="K41" t="s">
        <v>432</v>
      </c>
      <c r="L41" t="s">
        <v>155</v>
      </c>
      <c r="M41" t="s">
        <v>43</v>
      </c>
      <c r="N41">
        <v>340</v>
      </c>
      <c r="O41">
        <v>20</v>
      </c>
      <c r="P41">
        <v>1600</v>
      </c>
      <c r="Q41" t="s">
        <v>423</v>
      </c>
      <c r="R41">
        <v>40</v>
      </c>
      <c r="S41">
        <v>40</v>
      </c>
      <c r="U41">
        <v>0</v>
      </c>
      <c r="V41">
        <v>0</v>
      </c>
      <c r="W41">
        <v>0</v>
      </c>
      <c r="X41">
        <v>0</v>
      </c>
      <c r="Y41" t="s">
        <v>424</v>
      </c>
      <c r="AC41" s="18">
        <v>46255.942372685182</v>
      </c>
      <c r="AD41" t="s">
        <v>583</v>
      </c>
      <c r="AE41" t="s">
        <v>601</v>
      </c>
      <c r="AF41">
        <v>137334928457234.66</v>
      </c>
      <c r="AG41" t="s">
        <v>599</v>
      </c>
      <c r="AH41" t="s">
        <v>602</v>
      </c>
      <c r="AL41" s="18">
        <v>46255.942372685182</v>
      </c>
      <c r="AM41" t="s">
        <v>664</v>
      </c>
      <c r="AN41" t="s">
        <v>671</v>
      </c>
      <c r="AO41">
        <v>0</v>
      </c>
      <c r="AP41">
        <v>800</v>
      </c>
      <c r="AQ41">
        <v>240</v>
      </c>
      <c r="AR41">
        <v>800</v>
      </c>
      <c r="AS41">
        <v>0</v>
      </c>
      <c r="AT41">
        <v>1</v>
      </c>
      <c r="AU41">
        <v>52.800000000000004</v>
      </c>
      <c r="AV41" t="s">
        <v>773</v>
      </c>
      <c r="AW41">
        <v>240</v>
      </c>
      <c r="AX41" t="s">
        <v>227</v>
      </c>
      <c r="AY41" t="s">
        <v>672</v>
      </c>
    </row>
    <row r="42" spans="1:51" x14ac:dyDescent="0.25">
      <c r="A42" s="18">
        <v>46255.942372685182</v>
      </c>
      <c r="B42">
        <v>1</v>
      </c>
      <c r="C42" t="s">
        <v>433</v>
      </c>
      <c r="D42">
        <v>-4.5874359907882844E-4</v>
      </c>
      <c r="E42">
        <v>-4.74035052381456</v>
      </c>
      <c r="F42" t="s">
        <v>252</v>
      </c>
      <c r="J42" s="18">
        <v>46255.942372685182</v>
      </c>
      <c r="K42" t="s">
        <v>433</v>
      </c>
      <c r="L42" t="s">
        <v>155</v>
      </c>
      <c r="M42" t="s">
        <v>43</v>
      </c>
      <c r="N42">
        <v>380</v>
      </c>
      <c r="O42">
        <v>20</v>
      </c>
      <c r="P42">
        <v>1600</v>
      </c>
      <c r="Q42" t="s">
        <v>423</v>
      </c>
      <c r="R42">
        <v>40</v>
      </c>
      <c r="S42">
        <v>40</v>
      </c>
      <c r="U42">
        <v>0</v>
      </c>
      <c r="V42">
        <v>0</v>
      </c>
      <c r="W42">
        <v>0</v>
      </c>
      <c r="X42">
        <v>0</v>
      </c>
      <c r="Y42" t="s">
        <v>424</v>
      </c>
      <c r="AC42" s="18">
        <v>46255.942372685182</v>
      </c>
      <c r="AD42" t="s">
        <v>583</v>
      </c>
      <c r="AE42" t="s">
        <v>603</v>
      </c>
      <c r="AF42">
        <v>174</v>
      </c>
      <c r="AG42" t="s">
        <v>35</v>
      </c>
      <c r="AH42" t="s">
        <v>604</v>
      </c>
      <c r="AL42" s="18">
        <v>46255.942372685182</v>
      </c>
      <c r="AM42" t="s">
        <v>664</v>
      </c>
      <c r="AN42" t="s">
        <v>673</v>
      </c>
      <c r="AO42">
        <v>600</v>
      </c>
      <c r="AP42">
        <v>0</v>
      </c>
      <c r="AQ42">
        <v>600</v>
      </c>
      <c r="AR42">
        <v>240</v>
      </c>
      <c r="AS42">
        <v>1</v>
      </c>
      <c r="AT42">
        <v>0</v>
      </c>
      <c r="AU42">
        <v>52.800000000000004</v>
      </c>
      <c r="AV42" t="s">
        <v>774</v>
      </c>
      <c r="AW42">
        <v>240</v>
      </c>
      <c r="AX42" t="s">
        <v>227</v>
      </c>
      <c r="AY42" t="s">
        <v>674</v>
      </c>
    </row>
    <row r="43" spans="1:51" x14ac:dyDescent="0.25">
      <c r="A43" s="18">
        <v>46255.942372685182</v>
      </c>
      <c r="B43">
        <v>1</v>
      </c>
      <c r="C43" t="s">
        <v>434</v>
      </c>
      <c r="D43">
        <v>-4.1730622788692411E-4</v>
      </c>
      <c r="E43">
        <v>-4.3121643548315491</v>
      </c>
      <c r="F43" t="s">
        <v>252</v>
      </c>
      <c r="J43" s="18">
        <v>46255.942372685182</v>
      </c>
      <c r="K43" t="s">
        <v>434</v>
      </c>
      <c r="L43" t="s">
        <v>155</v>
      </c>
      <c r="M43" t="s">
        <v>43</v>
      </c>
      <c r="N43">
        <v>420</v>
      </c>
      <c r="O43">
        <v>20</v>
      </c>
      <c r="P43">
        <v>1600</v>
      </c>
      <c r="Q43" t="s">
        <v>423</v>
      </c>
      <c r="R43">
        <v>40</v>
      </c>
      <c r="S43">
        <v>40</v>
      </c>
      <c r="U43">
        <v>0</v>
      </c>
      <c r="V43">
        <v>0</v>
      </c>
      <c r="W43">
        <v>0</v>
      </c>
      <c r="X43">
        <v>0</v>
      </c>
      <c r="Y43" t="s">
        <v>424</v>
      </c>
      <c r="AC43" s="18">
        <v>46255.942372685182</v>
      </c>
      <c r="AD43" t="s">
        <v>583</v>
      </c>
      <c r="AE43" t="s">
        <v>605</v>
      </c>
      <c r="AF43">
        <v>28</v>
      </c>
      <c r="AG43" t="s">
        <v>35</v>
      </c>
      <c r="AH43" t="s">
        <v>606</v>
      </c>
      <c r="AL43" s="18">
        <v>46255.942372685182</v>
      </c>
      <c r="AM43" t="s">
        <v>675</v>
      </c>
      <c r="AN43" t="s">
        <v>676</v>
      </c>
      <c r="AO43">
        <v>40</v>
      </c>
      <c r="AP43">
        <v>330</v>
      </c>
      <c r="AQ43">
        <v>40</v>
      </c>
      <c r="AR43">
        <v>720</v>
      </c>
      <c r="AS43">
        <v>-1</v>
      </c>
      <c r="AT43">
        <v>0</v>
      </c>
      <c r="AU43">
        <v>40</v>
      </c>
      <c r="AV43" t="s">
        <v>677</v>
      </c>
      <c r="AY43" t="s">
        <v>678</v>
      </c>
    </row>
    <row r="44" spans="1:51" x14ac:dyDescent="0.25">
      <c r="A44" s="18">
        <v>46255.942372685182</v>
      </c>
      <c r="B44">
        <v>1</v>
      </c>
      <c r="C44" t="s">
        <v>435</v>
      </c>
      <c r="D44">
        <v>-3.7586885669501979E-4</v>
      </c>
      <c r="E44">
        <v>-3.8839781858485378</v>
      </c>
      <c r="F44" t="s">
        <v>252</v>
      </c>
      <c r="J44" s="18">
        <v>46255.942372685182</v>
      </c>
      <c r="K44" t="s">
        <v>435</v>
      </c>
      <c r="L44" t="s">
        <v>155</v>
      </c>
      <c r="M44" t="s">
        <v>43</v>
      </c>
      <c r="N44">
        <v>460</v>
      </c>
      <c r="O44">
        <v>20</v>
      </c>
      <c r="P44">
        <v>1600</v>
      </c>
      <c r="Q44" t="s">
        <v>423</v>
      </c>
      <c r="R44">
        <v>40</v>
      </c>
      <c r="S44">
        <v>40</v>
      </c>
      <c r="U44">
        <v>0</v>
      </c>
      <c r="V44">
        <v>0</v>
      </c>
      <c r="W44">
        <v>0</v>
      </c>
      <c r="X44">
        <v>0</v>
      </c>
      <c r="Y44" t="s">
        <v>424</v>
      </c>
      <c r="AC44" s="18">
        <v>46255.942372685182</v>
      </c>
      <c r="AD44" t="s">
        <v>583</v>
      </c>
      <c r="AE44" t="s">
        <v>607</v>
      </c>
      <c r="AF44" t="s">
        <v>227</v>
      </c>
      <c r="AG44" t="s">
        <v>272</v>
      </c>
      <c r="AH44" t="s">
        <v>608</v>
      </c>
      <c r="AL44" s="18">
        <v>46255.942372685182</v>
      </c>
      <c r="AM44" t="s">
        <v>675</v>
      </c>
      <c r="AN44" t="s">
        <v>679</v>
      </c>
      <c r="AO44">
        <v>210</v>
      </c>
      <c r="AP44">
        <v>720</v>
      </c>
      <c r="AQ44">
        <v>210</v>
      </c>
      <c r="AR44">
        <v>330</v>
      </c>
      <c r="AS44">
        <v>1</v>
      </c>
      <c r="AT44">
        <v>0</v>
      </c>
      <c r="AU44">
        <v>40</v>
      </c>
      <c r="AV44" t="s">
        <v>677</v>
      </c>
      <c r="AY44" t="s">
        <v>678</v>
      </c>
    </row>
    <row r="45" spans="1:51" x14ac:dyDescent="0.25">
      <c r="A45" s="18">
        <v>46255.942372685182</v>
      </c>
      <c r="B45">
        <v>1</v>
      </c>
      <c r="C45" t="s">
        <v>436</v>
      </c>
      <c r="D45">
        <v>-3.3443148550311546E-4</v>
      </c>
      <c r="E45">
        <v>-3.4557920168655265</v>
      </c>
      <c r="F45" t="s">
        <v>252</v>
      </c>
      <c r="J45" s="18">
        <v>46255.942372685182</v>
      </c>
      <c r="K45" t="s">
        <v>436</v>
      </c>
      <c r="L45" t="s">
        <v>155</v>
      </c>
      <c r="M45" t="s">
        <v>43</v>
      </c>
      <c r="N45">
        <v>500</v>
      </c>
      <c r="O45">
        <v>20</v>
      </c>
      <c r="P45">
        <v>1600</v>
      </c>
      <c r="Q45" t="s">
        <v>423</v>
      </c>
      <c r="R45">
        <v>40</v>
      </c>
      <c r="S45">
        <v>40</v>
      </c>
      <c r="U45">
        <v>0</v>
      </c>
      <c r="V45">
        <v>0</v>
      </c>
      <c r="W45">
        <v>0</v>
      </c>
      <c r="X45">
        <v>0</v>
      </c>
      <c r="Y45" t="s">
        <v>424</v>
      </c>
      <c r="AC45" s="18">
        <v>46255.942372685182</v>
      </c>
      <c r="AD45" t="s">
        <v>583</v>
      </c>
      <c r="AE45" t="s">
        <v>609</v>
      </c>
      <c r="AF45" t="s">
        <v>229</v>
      </c>
      <c r="AG45" t="s">
        <v>272</v>
      </c>
      <c r="AH45" t="s">
        <v>610</v>
      </c>
      <c r="AL45" s="18">
        <v>46255.942372685182</v>
      </c>
      <c r="AM45" t="s">
        <v>675</v>
      </c>
      <c r="AN45" t="s">
        <v>680</v>
      </c>
      <c r="AO45">
        <v>80</v>
      </c>
      <c r="AP45">
        <v>760</v>
      </c>
      <c r="AQ45">
        <v>170</v>
      </c>
      <c r="AR45">
        <v>760</v>
      </c>
      <c r="AS45">
        <v>0</v>
      </c>
      <c r="AT45">
        <v>1</v>
      </c>
      <c r="AU45">
        <v>40</v>
      </c>
      <c r="AV45" t="s">
        <v>681</v>
      </c>
      <c r="AY45" t="s">
        <v>678</v>
      </c>
    </row>
    <row r="46" spans="1:51" x14ac:dyDescent="0.25">
      <c r="A46" s="18">
        <v>46255.942372685182</v>
      </c>
      <c r="B46">
        <v>1</v>
      </c>
      <c r="C46" t="s">
        <v>437</v>
      </c>
      <c r="D46">
        <v>-2.9299411431121119E-4</v>
      </c>
      <c r="E46">
        <v>-3.0276058478825156</v>
      </c>
      <c r="F46" t="s">
        <v>252</v>
      </c>
      <c r="J46" s="18">
        <v>46255.942372685182</v>
      </c>
      <c r="K46" t="s">
        <v>437</v>
      </c>
      <c r="L46" t="s">
        <v>155</v>
      </c>
      <c r="M46" t="s">
        <v>43</v>
      </c>
      <c r="N46">
        <v>540</v>
      </c>
      <c r="O46">
        <v>20</v>
      </c>
      <c r="P46">
        <v>1600</v>
      </c>
      <c r="Q46" t="s">
        <v>423</v>
      </c>
      <c r="R46">
        <v>40</v>
      </c>
      <c r="S46">
        <v>40</v>
      </c>
      <c r="U46">
        <v>0</v>
      </c>
      <c r="V46">
        <v>0</v>
      </c>
      <c r="W46">
        <v>0</v>
      </c>
      <c r="X46">
        <v>0</v>
      </c>
      <c r="Y46" t="s">
        <v>424</v>
      </c>
      <c r="AC46" s="18">
        <v>46255.942372685182</v>
      </c>
      <c r="AD46" t="s">
        <v>583</v>
      </c>
      <c r="AE46" t="s">
        <v>611</v>
      </c>
      <c r="AF46" t="s">
        <v>231</v>
      </c>
      <c r="AG46" t="s">
        <v>272</v>
      </c>
      <c r="AH46" t="s">
        <v>612</v>
      </c>
      <c r="AL46" s="18">
        <v>46255.942372685182</v>
      </c>
      <c r="AM46" t="s">
        <v>675</v>
      </c>
      <c r="AN46" t="s">
        <v>682</v>
      </c>
      <c r="AO46">
        <v>170</v>
      </c>
      <c r="AP46">
        <v>290</v>
      </c>
      <c r="AQ46">
        <v>79.999999999999986</v>
      </c>
      <c r="AR46">
        <v>290</v>
      </c>
      <c r="AS46">
        <v>0</v>
      </c>
      <c r="AT46">
        <v>-1</v>
      </c>
      <c r="AU46">
        <v>40</v>
      </c>
      <c r="AV46" t="s">
        <v>681</v>
      </c>
      <c r="AY46" t="s">
        <v>678</v>
      </c>
    </row>
    <row r="47" spans="1:51" x14ac:dyDescent="0.25">
      <c r="A47" s="18">
        <v>46255.942372685182</v>
      </c>
      <c r="B47">
        <v>1</v>
      </c>
      <c r="C47" t="s">
        <v>438</v>
      </c>
      <c r="D47">
        <v>-2.5155674311930687E-4</v>
      </c>
      <c r="E47">
        <v>-2.5994196788995043</v>
      </c>
      <c r="F47" t="s">
        <v>252</v>
      </c>
      <c r="J47" s="18">
        <v>46255.942372685182</v>
      </c>
      <c r="K47" t="s">
        <v>438</v>
      </c>
      <c r="L47" t="s">
        <v>155</v>
      </c>
      <c r="M47" t="s">
        <v>43</v>
      </c>
      <c r="N47">
        <v>580</v>
      </c>
      <c r="O47">
        <v>20</v>
      </c>
      <c r="P47">
        <v>1600</v>
      </c>
      <c r="Q47" t="s">
        <v>423</v>
      </c>
      <c r="R47">
        <v>40</v>
      </c>
      <c r="S47">
        <v>40</v>
      </c>
      <c r="U47">
        <v>0</v>
      </c>
      <c r="V47">
        <v>0</v>
      </c>
      <c r="W47">
        <v>0</v>
      </c>
      <c r="X47">
        <v>0</v>
      </c>
      <c r="Y47" t="s">
        <v>424</v>
      </c>
      <c r="AC47" s="18">
        <v>46255.942372685182</v>
      </c>
      <c r="AD47" t="s">
        <v>583</v>
      </c>
      <c r="AE47" t="s">
        <v>613</v>
      </c>
      <c r="AF47" t="s">
        <v>233</v>
      </c>
      <c r="AG47" t="s">
        <v>272</v>
      </c>
      <c r="AH47" t="s">
        <v>614</v>
      </c>
      <c r="AL47" s="18">
        <v>46255.942372685182</v>
      </c>
      <c r="AM47" t="s">
        <v>675</v>
      </c>
      <c r="AN47" t="s">
        <v>683</v>
      </c>
      <c r="AO47">
        <v>40</v>
      </c>
      <c r="AP47">
        <v>80</v>
      </c>
      <c r="AQ47">
        <v>40</v>
      </c>
      <c r="AR47">
        <v>170</v>
      </c>
      <c r="AS47">
        <v>-1</v>
      </c>
      <c r="AT47">
        <v>0</v>
      </c>
      <c r="AU47">
        <v>40</v>
      </c>
      <c r="AV47" t="s">
        <v>681</v>
      </c>
      <c r="AY47" t="s">
        <v>678</v>
      </c>
    </row>
    <row r="48" spans="1:51" x14ac:dyDescent="0.25">
      <c r="A48" s="18">
        <v>46255.942372685182</v>
      </c>
      <c r="B48">
        <v>1</v>
      </c>
      <c r="C48" t="s">
        <v>439</v>
      </c>
      <c r="D48">
        <v>-7.6056808749488665E-4</v>
      </c>
      <c r="E48">
        <v>-7.8592035707804948</v>
      </c>
      <c r="F48" t="s">
        <v>252</v>
      </c>
      <c r="J48" s="18">
        <v>46255.942372685182</v>
      </c>
      <c r="K48" t="s">
        <v>439</v>
      </c>
      <c r="L48" t="s">
        <v>155</v>
      </c>
      <c r="M48" t="s">
        <v>43</v>
      </c>
      <c r="N48">
        <v>20</v>
      </c>
      <c r="O48">
        <v>60</v>
      </c>
      <c r="P48">
        <v>1600</v>
      </c>
      <c r="Q48" t="s">
        <v>423</v>
      </c>
      <c r="R48">
        <v>40</v>
      </c>
      <c r="S48">
        <v>40</v>
      </c>
      <c r="U48">
        <v>0</v>
      </c>
      <c r="V48">
        <v>0</v>
      </c>
      <c r="W48">
        <v>0</v>
      </c>
      <c r="X48">
        <v>0</v>
      </c>
      <c r="Y48" t="s">
        <v>424</v>
      </c>
      <c r="AC48" s="18">
        <v>46255.942372685182</v>
      </c>
      <c r="AD48" t="s">
        <v>583</v>
      </c>
      <c r="AE48" t="s">
        <v>615</v>
      </c>
      <c r="AF48" t="s">
        <v>235</v>
      </c>
      <c r="AG48" t="s">
        <v>272</v>
      </c>
      <c r="AH48" t="s">
        <v>616</v>
      </c>
      <c r="AL48" s="18">
        <v>46255.942372685182</v>
      </c>
      <c r="AM48" t="s">
        <v>675</v>
      </c>
      <c r="AN48" t="s">
        <v>684</v>
      </c>
      <c r="AO48">
        <v>560</v>
      </c>
      <c r="AP48">
        <v>170</v>
      </c>
      <c r="AQ48">
        <v>560</v>
      </c>
      <c r="AR48">
        <v>79.999999999999986</v>
      </c>
      <c r="AS48">
        <v>1</v>
      </c>
      <c r="AT48">
        <v>0</v>
      </c>
      <c r="AU48">
        <v>40</v>
      </c>
      <c r="AV48" t="s">
        <v>681</v>
      </c>
      <c r="AY48" t="s">
        <v>678</v>
      </c>
    </row>
    <row r="49" spans="1:51" x14ac:dyDescent="0.25">
      <c r="A49" s="18">
        <v>46255.942372685182</v>
      </c>
      <c r="B49">
        <v>1</v>
      </c>
      <c r="C49" t="s">
        <v>440</v>
      </c>
      <c r="D49">
        <v>-7.1913071630298232E-4</v>
      </c>
      <c r="E49">
        <v>-7.4310174017974839</v>
      </c>
      <c r="F49" t="s">
        <v>252</v>
      </c>
      <c r="J49" s="18">
        <v>46255.942372685182</v>
      </c>
      <c r="K49" t="s">
        <v>440</v>
      </c>
      <c r="L49" t="s">
        <v>155</v>
      </c>
      <c r="M49" t="s">
        <v>43</v>
      </c>
      <c r="N49">
        <v>60</v>
      </c>
      <c r="O49">
        <v>60</v>
      </c>
      <c r="P49">
        <v>1600</v>
      </c>
      <c r="Q49" t="s">
        <v>423</v>
      </c>
      <c r="R49">
        <v>40</v>
      </c>
      <c r="S49">
        <v>40</v>
      </c>
      <c r="U49">
        <v>0</v>
      </c>
      <c r="V49">
        <v>0</v>
      </c>
      <c r="W49">
        <v>0</v>
      </c>
      <c r="X49">
        <v>0</v>
      </c>
      <c r="Y49" t="s">
        <v>424</v>
      </c>
      <c r="AC49" s="18">
        <v>46255.942372685182</v>
      </c>
      <c r="AD49" t="s">
        <v>583</v>
      </c>
      <c r="AE49" t="s">
        <v>617</v>
      </c>
      <c r="AF49" t="s">
        <v>237</v>
      </c>
      <c r="AG49" t="s">
        <v>272</v>
      </c>
      <c r="AH49" t="s">
        <v>618</v>
      </c>
      <c r="AL49" s="18">
        <v>46255.942372685182</v>
      </c>
      <c r="AM49" t="s">
        <v>675</v>
      </c>
      <c r="AN49" t="s">
        <v>685</v>
      </c>
      <c r="AO49">
        <v>80</v>
      </c>
      <c r="AP49">
        <v>210</v>
      </c>
      <c r="AQ49">
        <v>520</v>
      </c>
      <c r="AR49">
        <v>210</v>
      </c>
      <c r="AS49">
        <v>0</v>
      </c>
      <c r="AT49">
        <v>1</v>
      </c>
      <c r="AU49">
        <v>40</v>
      </c>
      <c r="AV49" t="s">
        <v>677</v>
      </c>
      <c r="AY49" t="s">
        <v>678</v>
      </c>
    </row>
    <row r="50" spans="1:51" x14ac:dyDescent="0.25">
      <c r="A50" s="18">
        <v>46255.942372685182</v>
      </c>
      <c r="B50">
        <v>1</v>
      </c>
      <c r="C50" t="s">
        <v>441</v>
      </c>
      <c r="D50">
        <v>-6.77693345111078E-4</v>
      </c>
      <c r="E50">
        <v>-7.0028312328144722</v>
      </c>
      <c r="F50" t="s">
        <v>252</v>
      </c>
      <c r="J50" s="18">
        <v>46255.942372685182</v>
      </c>
      <c r="K50" t="s">
        <v>441</v>
      </c>
      <c r="L50" t="s">
        <v>155</v>
      </c>
      <c r="M50" t="s">
        <v>43</v>
      </c>
      <c r="N50">
        <v>100</v>
      </c>
      <c r="O50">
        <v>60</v>
      </c>
      <c r="P50">
        <v>1600</v>
      </c>
      <c r="Q50" t="s">
        <v>423</v>
      </c>
      <c r="R50">
        <v>40</v>
      </c>
      <c r="S50">
        <v>40</v>
      </c>
      <c r="U50">
        <v>0</v>
      </c>
      <c r="V50">
        <v>0</v>
      </c>
      <c r="W50">
        <v>0</v>
      </c>
      <c r="X50">
        <v>0</v>
      </c>
      <c r="Y50" t="s">
        <v>424</v>
      </c>
      <c r="AC50" s="18">
        <v>46255.942372685182</v>
      </c>
      <c r="AD50" t="s">
        <v>583</v>
      </c>
      <c r="AE50" t="s">
        <v>619</v>
      </c>
      <c r="AF50" t="s">
        <v>252</v>
      </c>
      <c r="AG50" t="s">
        <v>272</v>
      </c>
      <c r="AH50" t="s">
        <v>620</v>
      </c>
      <c r="AL50" s="18">
        <v>46255.942372685182</v>
      </c>
      <c r="AM50" t="s">
        <v>675</v>
      </c>
      <c r="AN50" t="s">
        <v>686</v>
      </c>
      <c r="AO50">
        <v>520</v>
      </c>
      <c r="AP50">
        <v>40</v>
      </c>
      <c r="AQ50">
        <v>79.999999999999986</v>
      </c>
      <c r="AR50">
        <v>40</v>
      </c>
      <c r="AS50">
        <v>0</v>
      </c>
      <c r="AT50">
        <v>-1</v>
      </c>
      <c r="AU50">
        <v>40</v>
      </c>
      <c r="AV50" t="s">
        <v>677</v>
      </c>
      <c r="AY50" t="s">
        <v>678</v>
      </c>
    </row>
    <row r="51" spans="1:51" x14ac:dyDescent="0.25">
      <c r="A51" s="18">
        <v>46255.942372685182</v>
      </c>
      <c r="B51">
        <v>1</v>
      </c>
      <c r="C51" t="s">
        <v>442</v>
      </c>
      <c r="D51">
        <v>-6.3625597391917367E-4</v>
      </c>
      <c r="E51">
        <v>-6.5746450638314613</v>
      </c>
      <c r="F51" t="s">
        <v>252</v>
      </c>
      <c r="J51" s="18">
        <v>46255.942372685182</v>
      </c>
      <c r="K51" t="s">
        <v>442</v>
      </c>
      <c r="L51" t="s">
        <v>155</v>
      </c>
      <c r="M51" t="s">
        <v>43</v>
      </c>
      <c r="N51">
        <v>140</v>
      </c>
      <c r="O51">
        <v>60</v>
      </c>
      <c r="P51">
        <v>1600</v>
      </c>
      <c r="Q51" t="s">
        <v>423</v>
      </c>
      <c r="R51">
        <v>40</v>
      </c>
      <c r="S51">
        <v>40</v>
      </c>
      <c r="U51">
        <v>0</v>
      </c>
      <c r="V51">
        <v>0</v>
      </c>
      <c r="W51">
        <v>0</v>
      </c>
      <c r="X51">
        <v>0</v>
      </c>
      <c r="Y51" t="s">
        <v>424</v>
      </c>
      <c r="AC51" s="18">
        <v>46255.942372685182</v>
      </c>
      <c r="AD51" t="s">
        <v>583</v>
      </c>
      <c r="AE51" t="s">
        <v>621</v>
      </c>
      <c r="AF51" t="s">
        <v>255</v>
      </c>
      <c r="AG51" t="s">
        <v>272</v>
      </c>
      <c r="AH51" t="s">
        <v>622</v>
      </c>
    </row>
    <row r="52" spans="1:51" x14ac:dyDescent="0.25">
      <c r="A52" s="18">
        <v>46255.942372685182</v>
      </c>
      <c r="B52">
        <v>1</v>
      </c>
      <c r="C52" t="s">
        <v>443</v>
      </c>
      <c r="D52">
        <v>-5.9481860272726935E-4</v>
      </c>
      <c r="E52">
        <v>-6.1464588948484495</v>
      </c>
      <c r="F52" t="s">
        <v>252</v>
      </c>
      <c r="J52" s="18">
        <v>46255.942372685182</v>
      </c>
      <c r="K52" t="s">
        <v>443</v>
      </c>
      <c r="L52" t="s">
        <v>155</v>
      </c>
      <c r="M52" t="s">
        <v>43</v>
      </c>
      <c r="N52">
        <v>180</v>
      </c>
      <c r="O52">
        <v>60</v>
      </c>
      <c r="P52">
        <v>1600</v>
      </c>
      <c r="Q52" t="s">
        <v>423</v>
      </c>
      <c r="R52">
        <v>40</v>
      </c>
      <c r="S52">
        <v>40</v>
      </c>
      <c r="U52">
        <v>0</v>
      </c>
      <c r="V52">
        <v>0</v>
      </c>
      <c r="W52">
        <v>0</v>
      </c>
      <c r="X52">
        <v>0</v>
      </c>
      <c r="Y52" t="s">
        <v>424</v>
      </c>
      <c r="AC52" s="18">
        <v>46255.942372685182</v>
      </c>
      <c r="AD52" t="s">
        <v>583</v>
      </c>
      <c r="AE52" t="s">
        <v>623</v>
      </c>
      <c r="AF52" t="s">
        <v>257</v>
      </c>
      <c r="AG52" t="s">
        <v>272</v>
      </c>
      <c r="AH52" t="s">
        <v>624</v>
      </c>
    </row>
    <row r="53" spans="1:51" x14ac:dyDescent="0.25">
      <c r="A53" s="18">
        <v>46255.942372685182</v>
      </c>
      <c r="B53">
        <v>1</v>
      </c>
      <c r="C53" t="s">
        <v>444</v>
      </c>
      <c r="D53">
        <v>-5.5338123153536502E-4</v>
      </c>
      <c r="E53">
        <v>-5.7182727258654387</v>
      </c>
      <c r="F53" t="s">
        <v>252</v>
      </c>
      <c r="J53" s="18">
        <v>46255.942372685182</v>
      </c>
      <c r="K53" t="s">
        <v>444</v>
      </c>
      <c r="L53" t="s">
        <v>155</v>
      </c>
      <c r="M53" t="s">
        <v>43</v>
      </c>
      <c r="N53">
        <v>220</v>
      </c>
      <c r="O53">
        <v>60</v>
      </c>
      <c r="P53">
        <v>1600</v>
      </c>
      <c r="Q53" t="s">
        <v>423</v>
      </c>
      <c r="R53">
        <v>40</v>
      </c>
      <c r="S53">
        <v>40</v>
      </c>
      <c r="U53">
        <v>0</v>
      </c>
      <c r="V53">
        <v>0</v>
      </c>
      <c r="W53">
        <v>0</v>
      </c>
      <c r="X53">
        <v>0</v>
      </c>
      <c r="Y53" t="s">
        <v>424</v>
      </c>
      <c r="AC53" s="18">
        <v>46255.942372685182</v>
      </c>
      <c r="AD53">
        <v>1</v>
      </c>
      <c r="AE53" t="s">
        <v>625</v>
      </c>
      <c r="AF53">
        <v>-8.8795455155745969E-4</v>
      </c>
      <c r="AG53" t="s">
        <v>272</v>
      </c>
      <c r="AH53" t="s">
        <v>626</v>
      </c>
    </row>
    <row r="54" spans="1:51" x14ac:dyDescent="0.25">
      <c r="A54" s="18">
        <v>46255.942372685182</v>
      </c>
      <c r="B54">
        <v>1</v>
      </c>
      <c r="C54" t="s">
        <v>445</v>
      </c>
      <c r="D54">
        <v>-5.119438603434607E-4</v>
      </c>
      <c r="E54">
        <v>-5.2900865568824269</v>
      </c>
      <c r="F54" t="s">
        <v>252</v>
      </c>
      <c r="J54" s="18">
        <v>46255.942372685182</v>
      </c>
      <c r="K54" t="s">
        <v>445</v>
      </c>
      <c r="L54" t="s">
        <v>155</v>
      </c>
      <c r="M54" t="s">
        <v>43</v>
      </c>
      <c r="N54">
        <v>260</v>
      </c>
      <c r="O54">
        <v>60</v>
      </c>
      <c r="P54">
        <v>1600</v>
      </c>
      <c r="Q54" t="s">
        <v>423</v>
      </c>
      <c r="R54">
        <v>40</v>
      </c>
      <c r="S54">
        <v>40</v>
      </c>
      <c r="U54">
        <v>0</v>
      </c>
      <c r="V54">
        <v>0</v>
      </c>
      <c r="W54">
        <v>0</v>
      </c>
      <c r="X54">
        <v>0</v>
      </c>
      <c r="Y54" t="s">
        <v>424</v>
      </c>
      <c r="AC54" s="18">
        <v>46255.942372685182</v>
      </c>
      <c r="AD54">
        <v>1</v>
      </c>
      <c r="AE54" t="s">
        <v>627</v>
      </c>
      <c r="AF54">
        <v>1.7777963077770155E-6</v>
      </c>
      <c r="AG54" t="s">
        <v>237</v>
      </c>
      <c r="AH54" t="s">
        <v>628</v>
      </c>
    </row>
    <row r="55" spans="1:51" x14ac:dyDescent="0.25">
      <c r="A55" s="18">
        <v>46255.942372685182</v>
      </c>
      <c r="B55">
        <v>1</v>
      </c>
      <c r="C55" t="s">
        <v>446</v>
      </c>
      <c r="D55">
        <v>-4.7050648915155643E-4</v>
      </c>
      <c r="E55">
        <v>-4.861900387899416</v>
      </c>
      <c r="F55" t="s">
        <v>252</v>
      </c>
      <c r="J55" s="18">
        <v>46255.942372685182</v>
      </c>
      <c r="K55" t="s">
        <v>446</v>
      </c>
      <c r="L55" t="s">
        <v>155</v>
      </c>
      <c r="M55" t="s">
        <v>43</v>
      </c>
      <c r="N55">
        <v>300</v>
      </c>
      <c r="O55">
        <v>60</v>
      </c>
      <c r="P55">
        <v>1600</v>
      </c>
      <c r="Q55" t="s">
        <v>423</v>
      </c>
      <c r="R55">
        <v>40</v>
      </c>
      <c r="S55">
        <v>40</v>
      </c>
      <c r="U55">
        <v>0</v>
      </c>
      <c r="V55">
        <v>0</v>
      </c>
      <c r="W55">
        <v>0</v>
      </c>
      <c r="X55">
        <v>0</v>
      </c>
      <c r="Y55" t="s">
        <v>424</v>
      </c>
      <c r="AC55" s="18">
        <v>46255.942372685182</v>
      </c>
      <c r="AD55">
        <v>1</v>
      </c>
      <c r="AE55" t="s">
        <v>629</v>
      </c>
      <c r="AF55">
        <v>1.0359342797976078E-6</v>
      </c>
      <c r="AG55" t="s">
        <v>237</v>
      </c>
      <c r="AH55" t="s">
        <v>630</v>
      </c>
    </row>
    <row r="56" spans="1:51" x14ac:dyDescent="0.25">
      <c r="A56" s="18">
        <v>46255.942372685182</v>
      </c>
      <c r="B56">
        <v>1</v>
      </c>
      <c r="C56" t="s">
        <v>447</v>
      </c>
      <c r="D56">
        <v>-4.290691179596521E-4</v>
      </c>
      <c r="E56">
        <v>-4.4337142189164052</v>
      </c>
      <c r="F56" t="s">
        <v>252</v>
      </c>
      <c r="J56" s="18">
        <v>46255.942372685182</v>
      </c>
      <c r="K56" t="s">
        <v>447</v>
      </c>
      <c r="L56" t="s">
        <v>155</v>
      </c>
      <c r="M56" t="s">
        <v>43</v>
      </c>
      <c r="N56">
        <v>340</v>
      </c>
      <c r="O56">
        <v>60</v>
      </c>
      <c r="P56">
        <v>1600</v>
      </c>
      <c r="Q56" t="s">
        <v>423</v>
      </c>
      <c r="R56">
        <v>40</v>
      </c>
      <c r="S56">
        <v>40</v>
      </c>
      <c r="U56">
        <v>0</v>
      </c>
      <c r="V56">
        <v>0</v>
      </c>
      <c r="W56">
        <v>0</v>
      </c>
      <c r="X56">
        <v>0</v>
      </c>
      <c r="Y56" t="s">
        <v>424</v>
      </c>
      <c r="AC56" s="18">
        <v>46255.942372685182</v>
      </c>
      <c r="AD56">
        <v>1</v>
      </c>
      <c r="AE56" t="s">
        <v>631</v>
      </c>
      <c r="AF56">
        <v>212.74286882176489</v>
      </c>
      <c r="AG56" t="s">
        <v>227</v>
      </c>
      <c r="AH56" t="s">
        <v>632</v>
      </c>
    </row>
    <row r="57" spans="1:51" x14ac:dyDescent="0.25">
      <c r="A57" s="18">
        <v>46255.942372685182</v>
      </c>
      <c r="B57">
        <v>1</v>
      </c>
      <c r="C57" t="s">
        <v>448</v>
      </c>
      <c r="D57">
        <v>-3.8763174676774778E-4</v>
      </c>
      <c r="E57">
        <v>-4.0055280499333934</v>
      </c>
      <c r="F57" t="s">
        <v>252</v>
      </c>
      <c r="J57" s="18">
        <v>46255.942372685182</v>
      </c>
      <c r="K57" t="s">
        <v>448</v>
      </c>
      <c r="L57" t="s">
        <v>155</v>
      </c>
      <c r="M57" t="s">
        <v>43</v>
      </c>
      <c r="N57">
        <v>380</v>
      </c>
      <c r="O57">
        <v>60</v>
      </c>
      <c r="P57">
        <v>1600</v>
      </c>
      <c r="Q57" t="s">
        <v>423</v>
      </c>
      <c r="R57">
        <v>40</v>
      </c>
      <c r="S57">
        <v>40</v>
      </c>
      <c r="U57">
        <v>0</v>
      </c>
      <c r="V57">
        <v>0</v>
      </c>
      <c r="W57">
        <v>0</v>
      </c>
      <c r="X57">
        <v>0</v>
      </c>
      <c r="Y57" t="s">
        <v>424</v>
      </c>
      <c r="AC57" s="18">
        <v>46255.942372685182</v>
      </c>
      <c r="AD57">
        <v>1</v>
      </c>
      <c r="AE57" t="s">
        <v>633</v>
      </c>
      <c r="AF57">
        <v>320.21201465663637</v>
      </c>
      <c r="AG57" t="s">
        <v>227</v>
      </c>
      <c r="AH57" t="s">
        <v>634</v>
      </c>
    </row>
    <row r="58" spans="1:51" x14ac:dyDescent="0.25">
      <c r="A58" s="18">
        <v>46255.942372685182</v>
      </c>
      <c r="B58">
        <v>1</v>
      </c>
      <c r="C58" t="s">
        <v>449</v>
      </c>
      <c r="D58">
        <v>-3.4619437557584351E-4</v>
      </c>
      <c r="E58">
        <v>-3.577341880950383</v>
      </c>
      <c r="F58" t="s">
        <v>252</v>
      </c>
      <c r="J58" s="18">
        <v>46255.942372685182</v>
      </c>
      <c r="K58" t="s">
        <v>449</v>
      </c>
      <c r="L58" t="s">
        <v>155</v>
      </c>
      <c r="M58" t="s">
        <v>43</v>
      </c>
      <c r="N58">
        <v>420</v>
      </c>
      <c r="O58">
        <v>60</v>
      </c>
      <c r="P58">
        <v>1600</v>
      </c>
      <c r="Q58" t="s">
        <v>423</v>
      </c>
      <c r="R58">
        <v>40</v>
      </c>
      <c r="S58">
        <v>40</v>
      </c>
      <c r="U58">
        <v>0</v>
      </c>
      <c r="V58">
        <v>0</v>
      </c>
      <c r="W58">
        <v>0</v>
      </c>
      <c r="X58">
        <v>0</v>
      </c>
      <c r="Y58" t="s">
        <v>424</v>
      </c>
      <c r="AC58" s="18">
        <v>46255.942372685182</v>
      </c>
      <c r="AD58">
        <v>1</v>
      </c>
      <c r="AE58" t="s">
        <v>2</v>
      </c>
      <c r="AF58">
        <v>100</v>
      </c>
      <c r="AG58" t="s">
        <v>231</v>
      </c>
      <c r="AH58" t="s">
        <v>635</v>
      </c>
    </row>
    <row r="59" spans="1:51" x14ac:dyDescent="0.25">
      <c r="A59" s="18">
        <v>46255.942372685182</v>
      </c>
      <c r="B59">
        <v>1</v>
      </c>
      <c r="C59" t="s">
        <v>450</v>
      </c>
      <c r="D59">
        <v>-3.0475700438393918E-4</v>
      </c>
      <c r="E59">
        <v>-3.1491557119673717</v>
      </c>
      <c r="F59" t="s">
        <v>252</v>
      </c>
      <c r="J59" s="18">
        <v>46255.942372685182</v>
      </c>
      <c r="K59" t="s">
        <v>450</v>
      </c>
      <c r="L59" t="s">
        <v>155</v>
      </c>
      <c r="M59" t="s">
        <v>43</v>
      </c>
      <c r="N59">
        <v>460</v>
      </c>
      <c r="O59">
        <v>60</v>
      </c>
      <c r="P59">
        <v>1600</v>
      </c>
      <c r="Q59" t="s">
        <v>423</v>
      </c>
      <c r="R59">
        <v>40</v>
      </c>
      <c r="S59">
        <v>40</v>
      </c>
      <c r="U59">
        <v>0</v>
      </c>
      <c r="V59">
        <v>0</v>
      </c>
      <c r="W59">
        <v>0</v>
      </c>
      <c r="X59">
        <v>0</v>
      </c>
      <c r="Y59" t="s">
        <v>424</v>
      </c>
      <c r="AC59" s="18">
        <v>46255.942372685182</v>
      </c>
      <c r="AD59">
        <v>1</v>
      </c>
      <c r="AE59" t="s">
        <v>636</v>
      </c>
      <c r="AF59">
        <v>50</v>
      </c>
      <c r="AG59" t="s">
        <v>233</v>
      </c>
      <c r="AH59" t="s">
        <v>637</v>
      </c>
    </row>
    <row r="60" spans="1:51" x14ac:dyDescent="0.25">
      <c r="A60" s="18">
        <v>46255.942372685182</v>
      </c>
      <c r="B60">
        <v>1</v>
      </c>
      <c r="C60" t="s">
        <v>451</v>
      </c>
      <c r="D60">
        <v>-2.6331963319203486E-4</v>
      </c>
      <c r="E60">
        <v>-2.7209695429843603</v>
      </c>
      <c r="F60" t="s">
        <v>252</v>
      </c>
      <c r="J60" s="18">
        <v>46255.942372685182</v>
      </c>
      <c r="K60" t="s">
        <v>451</v>
      </c>
      <c r="L60" t="s">
        <v>155</v>
      </c>
      <c r="M60" t="s">
        <v>43</v>
      </c>
      <c r="N60">
        <v>500</v>
      </c>
      <c r="O60">
        <v>60</v>
      </c>
      <c r="P60">
        <v>1600</v>
      </c>
      <c r="Q60" t="s">
        <v>423</v>
      </c>
      <c r="R60">
        <v>40</v>
      </c>
      <c r="S60">
        <v>40</v>
      </c>
      <c r="U60">
        <v>0</v>
      </c>
      <c r="V60">
        <v>0</v>
      </c>
      <c r="W60">
        <v>0</v>
      </c>
      <c r="X60">
        <v>0</v>
      </c>
      <c r="Y60" t="s">
        <v>424</v>
      </c>
      <c r="AC60" s="18">
        <v>46255.942372685182</v>
      </c>
      <c r="AD60">
        <v>1</v>
      </c>
      <c r="AE60" t="s">
        <v>638</v>
      </c>
      <c r="AF60">
        <v>0</v>
      </c>
      <c r="AG60" t="s">
        <v>233</v>
      </c>
      <c r="AH60" t="s">
        <v>639</v>
      </c>
    </row>
    <row r="61" spans="1:51" x14ac:dyDescent="0.25">
      <c r="A61" s="18">
        <v>46255.942372685182</v>
      </c>
      <c r="B61">
        <v>1</v>
      </c>
      <c r="C61" t="s">
        <v>452</v>
      </c>
      <c r="D61">
        <v>-2.2188226200013056E-4</v>
      </c>
      <c r="E61">
        <v>-2.292783374001349</v>
      </c>
      <c r="F61" t="s">
        <v>252</v>
      </c>
      <c r="J61" s="18">
        <v>46255.942372685182</v>
      </c>
      <c r="K61" t="s">
        <v>452</v>
      </c>
      <c r="L61" t="s">
        <v>155</v>
      </c>
      <c r="M61" t="s">
        <v>43</v>
      </c>
      <c r="N61">
        <v>540</v>
      </c>
      <c r="O61">
        <v>60</v>
      </c>
      <c r="P61">
        <v>1600</v>
      </c>
      <c r="Q61" t="s">
        <v>423</v>
      </c>
      <c r="R61">
        <v>40</v>
      </c>
      <c r="S61">
        <v>40</v>
      </c>
      <c r="U61">
        <v>0</v>
      </c>
      <c r="V61">
        <v>0</v>
      </c>
      <c r="W61">
        <v>0</v>
      </c>
      <c r="X61">
        <v>0</v>
      </c>
      <c r="Y61" t="s">
        <v>424</v>
      </c>
      <c r="AC61" s="18">
        <v>46255.942372685182</v>
      </c>
      <c r="AD61">
        <v>1</v>
      </c>
      <c r="AE61" t="s">
        <v>640</v>
      </c>
      <c r="AF61">
        <v>17.978798534336363</v>
      </c>
      <c r="AG61" t="s">
        <v>233</v>
      </c>
      <c r="AH61" t="s">
        <v>641</v>
      </c>
    </row>
    <row r="62" spans="1:51" x14ac:dyDescent="0.25">
      <c r="A62" s="18">
        <v>46255.942372685182</v>
      </c>
      <c r="B62">
        <v>1</v>
      </c>
      <c r="C62" t="s">
        <v>453</v>
      </c>
      <c r="D62">
        <v>-1.8044489080822624E-4</v>
      </c>
      <c r="E62">
        <v>-1.8645972050183377</v>
      </c>
      <c r="F62" t="s">
        <v>252</v>
      </c>
      <c r="J62" s="18">
        <v>46255.942372685182</v>
      </c>
      <c r="K62" t="s">
        <v>453</v>
      </c>
      <c r="L62" t="s">
        <v>155</v>
      </c>
      <c r="M62" t="s">
        <v>43</v>
      </c>
      <c r="N62">
        <v>580</v>
      </c>
      <c r="O62">
        <v>60</v>
      </c>
      <c r="P62">
        <v>1600</v>
      </c>
      <c r="Q62" t="s">
        <v>423</v>
      </c>
      <c r="R62">
        <v>40</v>
      </c>
      <c r="S62">
        <v>40</v>
      </c>
      <c r="U62">
        <v>0</v>
      </c>
      <c r="V62">
        <v>0</v>
      </c>
      <c r="W62">
        <v>0</v>
      </c>
      <c r="X62">
        <v>0</v>
      </c>
      <c r="Y62" t="s">
        <v>424</v>
      </c>
      <c r="AC62" s="18">
        <v>46255.942372685182</v>
      </c>
      <c r="AD62">
        <v>1</v>
      </c>
      <c r="AE62" t="s">
        <v>642</v>
      </c>
      <c r="AF62">
        <v>-21.27428688217649</v>
      </c>
      <c r="AG62" t="s">
        <v>233</v>
      </c>
      <c r="AH62" t="s">
        <v>643</v>
      </c>
    </row>
    <row r="63" spans="1:51" x14ac:dyDescent="0.25">
      <c r="A63" s="18">
        <v>46255.942372685182</v>
      </c>
      <c r="B63">
        <v>1</v>
      </c>
      <c r="C63" t="s">
        <v>454</v>
      </c>
      <c r="D63">
        <v>-6.8945623518380599E-4</v>
      </c>
      <c r="E63">
        <v>-7.1243810968993282</v>
      </c>
      <c r="F63" t="s">
        <v>252</v>
      </c>
      <c r="J63" s="18">
        <v>46255.942372685182</v>
      </c>
      <c r="K63" t="s">
        <v>454</v>
      </c>
      <c r="L63" t="s">
        <v>155</v>
      </c>
      <c r="M63" t="s">
        <v>43</v>
      </c>
      <c r="N63">
        <v>20</v>
      </c>
      <c r="O63">
        <v>100</v>
      </c>
      <c r="P63">
        <v>1600</v>
      </c>
      <c r="Q63" t="s">
        <v>423</v>
      </c>
      <c r="R63">
        <v>40</v>
      </c>
      <c r="S63">
        <v>40</v>
      </c>
      <c r="U63">
        <v>0</v>
      </c>
      <c r="V63">
        <v>0</v>
      </c>
      <c r="W63">
        <v>0</v>
      </c>
      <c r="X63">
        <v>0</v>
      </c>
      <c r="Y63" t="s">
        <v>424</v>
      </c>
      <c r="AC63" s="18">
        <v>46255.942372685182</v>
      </c>
      <c r="AD63">
        <v>1</v>
      </c>
      <c r="AE63" t="s">
        <v>644</v>
      </c>
      <c r="AF63">
        <v>100.32314085039098</v>
      </c>
      <c r="AG63" t="s">
        <v>231</v>
      </c>
      <c r="AH63" t="s">
        <v>645</v>
      </c>
    </row>
    <row r="64" spans="1:51" x14ac:dyDescent="0.25">
      <c r="A64" s="18">
        <v>46255.942372685182</v>
      </c>
      <c r="B64">
        <v>1</v>
      </c>
      <c r="C64" t="s">
        <v>455</v>
      </c>
      <c r="D64">
        <v>-6.4801886399190167E-4</v>
      </c>
      <c r="E64">
        <v>-6.6961949279163173</v>
      </c>
      <c r="F64" t="s">
        <v>252</v>
      </c>
      <c r="J64" s="18">
        <v>46255.942372685182</v>
      </c>
      <c r="K64" t="s">
        <v>455</v>
      </c>
      <c r="L64" t="s">
        <v>155</v>
      </c>
      <c r="M64" t="s">
        <v>43</v>
      </c>
      <c r="N64">
        <v>60</v>
      </c>
      <c r="O64">
        <v>100</v>
      </c>
      <c r="P64">
        <v>1600</v>
      </c>
      <c r="Q64" t="s">
        <v>423</v>
      </c>
      <c r="R64">
        <v>40</v>
      </c>
      <c r="S64">
        <v>40</v>
      </c>
      <c r="U64">
        <v>0</v>
      </c>
      <c r="V64">
        <v>0</v>
      </c>
      <c r="W64">
        <v>0</v>
      </c>
      <c r="X64">
        <v>0</v>
      </c>
      <c r="Y64" t="s">
        <v>424</v>
      </c>
      <c r="AC64" s="18">
        <v>46255.942372685182</v>
      </c>
      <c r="AD64">
        <v>1</v>
      </c>
      <c r="AE64" t="s">
        <v>391</v>
      </c>
      <c r="AF64" t="s">
        <v>403</v>
      </c>
      <c r="AG64" t="s">
        <v>272</v>
      </c>
      <c r="AH64" t="s">
        <v>646</v>
      </c>
    </row>
    <row r="65" spans="1:25" x14ac:dyDescent="0.25">
      <c r="A65" s="18">
        <v>46255.942372685182</v>
      </c>
      <c r="B65">
        <v>1</v>
      </c>
      <c r="C65" t="s">
        <v>456</v>
      </c>
      <c r="D65">
        <v>-6.0658149279999734E-4</v>
      </c>
      <c r="E65">
        <v>-6.2680087589333056</v>
      </c>
      <c r="F65" t="s">
        <v>252</v>
      </c>
      <c r="J65" s="18">
        <v>46255.942372685182</v>
      </c>
      <c r="K65" t="s">
        <v>456</v>
      </c>
      <c r="L65" t="s">
        <v>155</v>
      </c>
      <c r="M65" t="s">
        <v>43</v>
      </c>
      <c r="N65">
        <v>100</v>
      </c>
      <c r="O65">
        <v>100</v>
      </c>
      <c r="P65">
        <v>1600</v>
      </c>
      <c r="Q65" t="s">
        <v>423</v>
      </c>
      <c r="R65">
        <v>40</v>
      </c>
      <c r="S65">
        <v>40</v>
      </c>
      <c r="U65">
        <v>0</v>
      </c>
      <c r="V65">
        <v>0</v>
      </c>
      <c r="W65">
        <v>0</v>
      </c>
      <c r="X65">
        <v>0</v>
      </c>
      <c r="Y65" t="s">
        <v>424</v>
      </c>
    </row>
    <row r="66" spans="1:25" x14ac:dyDescent="0.25">
      <c r="A66" s="18">
        <v>46255.942372685182</v>
      </c>
      <c r="B66">
        <v>1</v>
      </c>
      <c r="C66" t="s">
        <v>457</v>
      </c>
      <c r="D66">
        <v>-5.6514412160809302E-4</v>
      </c>
      <c r="E66">
        <v>-5.8398225899502947</v>
      </c>
      <c r="F66" t="s">
        <v>252</v>
      </c>
      <c r="J66" s="18">
        <v>46255.942372685182</v>
      </c>
      <c r="K66" t="s">
        <v>457</v>
      </c>
      <c r="L66" t="s">
        <v>155</v>
      </c>
      <c r="M66" t="s">
        <v>43</v>
      </c>
      <c r="N66">
        <v>140</v>
      </c>
      <c r="O66">
        <v>100</v>
      </c>
      <c r="P66">
        <v>1600</v>
      </c>
      <c r="Q66" t="s">
        <v>423</v>
      </c>
      <c r="R66">
        <v>40</v>
      </c>
      <c r="S66">
        <v>40</v>
      </c>
      <c r="U66">
        <v>0</v>
      </c>
      <c r="V66">
        <v>0</v>
      </c>
      <c r="W66">
        <v>0</v>
      </c>
      <c r="X66">
        <v>0</v>
      </c>
      <c r="Y66" t="s">
        <v>424</v>
      </c>
    </row>
    <row r="67" spans="1:25" x14ac:dyDescent="0.25">
      <c r="A67" s="18">
        <v>46255.942372685182</v>
      </c>
      <c r="B67">
        <v>1</v>
      </c>
      <c r="C67" t="s">
        <v>458</v>
      </c>
      <c r="D67">
        <v>-5.2370675041618869E-4</v>
      </c>
      <c r="E67">
        <v>-5.4116364209672829</v>
      </c>
      <c r="F67" t="s">
        <v>252</v>
      </c>
      <c r="J67" s="18">
        <v>46255.942372685182</v>
      </c>
      <c r="K67" t="s">
        <v>458</v>
      </c>
      <c r="L67" t="s">
        <v>155</v>
      </c>
      <c r="M67" t="s">
        <v>43</v>
      </c>
      <c r="N67">
        <v>180</v>
      </c>
      <c r="O67">
        <v>100</v>
      </c>
      <c r="P67">
        <v>1600</v>
      </c>
      <c r="Q67" t="s">
        <v>423</v>
      </c>
      <c r="R67">
        <v>40</v>
      </c>
      <c r="S67">
        <v>40</v>
      </c>
      <c r="U67">
        <v>0</v>
      </c>
      <c r="V67">
        <v>0</v>
      </c>
      <c r="W67">
        <v>0</v>
      </c>
      <c r="X67">
        <v>0</v>
      </c>
      <c r="Y67" t="s">
        <v>424</v>
      </c>
    </row>
    <row r="68" spans="1:25" x14ac:dyDescent="0.25">
      <c r="A68" s="18">
        <v>46255.942372685182</v>
      </c>
      <c r="B68">
        <v>1</v>
      </c>
      <c r="C68" t="s">
        <v>459</v>
      </c>
      <c r="D68">
        <v>-4.8226937922428442E-4</v>
      </c>
      <c r="E68">
        <v>-4.9834502519842721</v>
      </c>
      <c r="F68" t="s">
        <v>252</v>
      </c>
      <c r="J68" s="18">
        <v>46255.942372685182</v>
      </c>
      <c r="K68" t="s">
        <v>459</v>
      </c>
      <c r="L68" t="s">
        <v>155</v>
      </c>
      <c r="M68" t="s">
        <v>43</v>
      </c>
      <c r="N68">
        <v>220</v>
      </c>
      <c r="O68">
        <v>100</v>
      </c>
      <c r="P68">
        <v>1600</v>
      </c>
      <c r="Q68" t="s">
        <v>423</v>
      </c>
      <c r="R68">
        <v>40</v>
      </c>
      <c r="S68">
        <v>40</v>
      </c>
      <c r="U68">
        <v>0</v>
      </c>
      <c r="V68">
        <v>0</v>
      </c>
      <c r="W68">
        <v>0</v>
      </c>
      <c r="X68">
        <v>0</v>
      </c>
      <c r="Y68" t="s">
        <v>424</v>
      </c>
    </row>
    <row r="69" spans="1:25" x14ac:dyDescent="0.25">
      <c r="A69" s="18">
        <v>46255.942372685182</v>
      </c>
      <c r="B69">
        <v>1</v>
      </c>
      <c r="C69" t="s">
        <v>460</v>
      </c>
      <c r="D69">
        <v>-4.408320080323801E-4</v>
      </c>
      <c r="E69">
        <v>-4.5552640830012612</v>
      </c>
      <c r="F69" t="s">
        <v>252</v>
      </c>
      <c r="J69" s="18">
        <v>46255.942372685182</v>
      </c>
      <c r="K69" t="s">
        <v>460</v>
      </c>
      <c r="L69" t="s">
        <v>155</v>
      </c>
      <c r="M69" t="s">
        <v>43</v>
      </c>
      <c r="N69">
        <v>260</v>
      </c>
      <c r="O69">
        <v>100</v>
      </c>
      <c r="P69">
        <v>1600</v>
      </c>
      <c r="Q69" t="s">
        <v>423</v>
      </c>
      <c r="R69">
        <v>40</v>
      </c>
      <c r="S69">
        <v>40</v>
      </c>
      <c r="U69">
        <v>0</v>
      </c>
      <c r="V69">
        <v>0</v>
      </c>
      <c r="W69">
        <v>0</v>
      </c>
      <c r="X69">
        <v>0</v>
      </c>
      <c r="Y69" t="s">
        <v>424</v>
      </c>
    </row>
    <row r="70" spans="1:25" x14ac:dyDescent="0.25">
      <c r="A70" s="18">
        <v>46255.942372685182</v>
      </c>
      <c r="B70">
        <v>1</v>
      </c>
      <c r="C70" t="s">
        <v>461</v>
      </c>
      <c r="D70">
        <v>-3.9939463684047583E-4</v>
      </c>
      <c r="E70">
        <v>-4.1270779140182503</v>
      </c>
      <c r="F70" t="s">
        <v>252</v>
      </c>
      <c r="J70" s="18">
        <v>46255.942372685182</v>
      </c>
      <c r="K70" t="s">
        <v>461</v>
      </c>
      <c r="L70" t="s">
        <v>155</v>
      </c>
      <c r="M70" t="s">
        <v>43</v>
      </c>
      <c r="N70">
        <v>300</v>
      </c>
      <c r="O70">
        <v>100</v>
      </c>
      <c r="P70">
        <v>1600</v>
      </c>
      <c r="Q70" t="s">
        <v>423</v>
      </c>
      <c r="R70">
        <v>40</v>
      </c>
      <c r="S70">
        <v>40</v>
      </c>
      <c r="U70">
        <v>0</v>
      </c>
      <c r="V70">
        <v>0</v>
      </c>
      <c r="W70">
        <v>0</v>
      </c>
      <c r="X70">
        <v>0</v>
      </c>
      <c r="Y70" t="s">
        <v>424</v>
      </c>
    </row>
    <row r="71" spans="1:25" x14ac:dyDescent="0.25">
      <c r="A71" s="18">
        <v>46255.942372685182</v>
      </c>
      <c r="B71">
        <v>1</v>
      </c>
      <c r="C71" t="s">
        <v>462</v>
      </c>
      <c r="D71">
        <v>-3.579572656485715E-4</v>
      </c>
      <c r="E71">
        <v>-3.698891745035239</v>
      </c>
      <c r="F71" t="s">
        <v>252</v>
      </c>
      <c r="J71" s="18">
        <v>46255.942372685182</v>
      </c>
      <c r="K71" t="s">
        <v>462</v>
      </c>
      <c r="L71" t="s">
        <v>155</v>
      </c>
      <c r="M71" t="s">
        <v>43</v>
      </c>
      <c r="N71">
        <v>340</v>
      </c>
      <c r="O71">
        <v>100</v>
      </c>
      <c r="P71">
        <v>1600</v>
      </c>
      <c r="Q71" t="s">
        <v>423</v>
      </c>
      <c r="R71">
        <v>40</v>
      </c>
      <c r="S71">
        <v>40</v>
      </c>
      <c r="U71">
        <v>0</v>
      </c>
      <c r="V71">
        <v>0</v>
      </c>
      <c r="W71">
        <v>0</v>
      </c>
      <c r="X71">
        <v>0</v>
      </c>
      <c r="Y71" t="s">
        <v>424</v>
      </c>
    </row>
    <row r="72" spans="1:25" x14ac:dyDescent="0.25">
      <c r="A72" s="18">
        <v>46255.942372685182</v>
      </c>
      <c r="B72">
        <v>1</v>
      </c>
      <c r="C72" t="s">
        <v>463</v>
      </c>
      <c r="D72">
        <v>-3.1651989445666718E-4</v>
      </c>
      <c r="E72">
        <v>-3.2707055760522272</v>
      </c>
      <c r="F72" t="s">
        <v>252</v>
      </c>
      <c r="J72" s="18">
        <v>46255.942372685182</v>
      </c>
      <c r="K72" t="s">
        <v>463</v>
      </c>
      <c r="L72" t="s">
        <v>155</v>
      </c>
      <c r="M72" t="s">
        <v>43</v>
      </c>
      <c r="N72">
        <v>380</v>
      </c>
      <c r="O72">
        <v>100</v>
      </c>
      <c r="P72">
        <v>1600</v>
      </c>
      <c r="Q72" t="s">
        <v>423</v>
      </c>
      <c r="R72">
        <v>40</v>
      </c>
      <c r="S72">
        <v>40</v>
      </c>
      <c r="U72">
        <v>0</v>
      </c>
      <c r="V72">
        <v>0</v>
      </c>
      <c r="W72">
        <v>0</v>
      </c>
      <c r="X72">
        <v>0</v>
      </c>
      <c r="Y72" t="s">
        <v>424</v>
      </c>
    </row>
    <row r="73" spans="1:25" x14ac:dyDescent="0.25">
      <c r="A73" s="18">
        <v>46255.942372685182</v>
      </c>
      <c r="B73">
        <v>1</v>
      </c>
      <c r="C73" t="s">
        <v>464</v>
      </c>
      <c r="D73">
        <v>-2.7508252326476285E-4</v>
      </c>
      <c r="E73">
        <v>-2.8425194070692159</v>
      </c>
      <c r="F73" t="s">
        <v>252</v>
      </c>
      <c r="J73" s="18">
        <v>46255.942372685182</v>
      </c>
      <c r="K73" t="s">
        <v>464</v>
      </c>
      <c r="L73" t="s">
        <v>155</v>
      </c>
      <c r="M73" t="s">
        <v>43</v>
      </c>
      <c r="N73">
        <v>420</v>
      </c>
      <c r="O73">
        <v>100</v>
      </c>
      <c r="P73">
        <v>1600</v>
      </c>
      <c r="Q73" t="s">
        <v>423</v>
      </c>
      <c r="R73">
        <v>40</v>
      </c>
      <c r="S73">
        <v>40</v>
      </c>
      <c r="U73">
        <v>0</v>
      </c>
      <c r="V73">
        <v>0</v>
      </c>
      <c r="W73">
        <v>0</v>
      </c>
      <c r="X73">
        <v>0</v>
      </c>
      <c r="Y73" t="s">
        <v>424</v>
      </c>
    </row>
    <row r="74" spans="1:25" x14ac:dyDescent="0.25">
      <c r="A74" s="18">
        <v>46255.942372685182</v>
      </c>
      <c r="B74">
        <v>1</v>
      </c>
      <c r="C74" t="s">
        <v>465</v>
      </c>
      <c r="D74">
        <v>-2.3364515207285855E-4</v>
      </c>
      <c r="E74">
        <v>-2.414333238086205</v>
      </c>
      <c r="F74" t="s">
        <v>252</v>
      </c>
      <c r="J74" s="18">
        <v>46255.942372685182</v>
      </c>
      <c r="K74" t="s">
        <v>465</v>
      </c>
      <c r="L74" t="s">
        <v>155</v>
      </c>
      <c r="M74" t="s">
        <v>43</v>
      </c>
      <c r="N74">
        <v>460</v>
      </c>
      <c r="O74">
        <v>100</v>
      </c>
      <c r="P74">
        <v>1600</v>
      </c>
      <c r="Q74" t="s">
        <v>423</v>
      </c>
      <c r="R74">
        <v>40</v>
      </c>
      <c r="S74">
        <v>40</v>
      </c>
      <c r="U74">
        <v>0</v>
      </c>
      <c r="V74">
        <v>0</v>
      </c>
      <c r="W74">
        <v>0</v>
      </c>
      <c r="X74">
        <v>0</v>
      </c>
      <c r="Y74" t="s">
        <v>424</v>
      </c>
    </row>
    <row r="75" spans="1:25" x14ac:dyDescent="0.25">
      <c r="A75" s="18">
        <v>46255.942372685182</v>
      </c>
      <c r="B75">
        <v>1</v>
      </c>
      <c r="C75" t="s">
        <v>466</v>
      </c>
      <c r="D75">
        <v>-1.9220778088095426E-4</v>
      </c>
      <c r="E75">
        <v>-1.9861470691031939</v>
      </c>
      <c r="F75" t="s">
        <v>252</v>
      </c>
      <c r="J75" s="18">
        <v>46255.942372685182</v>
      </c>
      <c r="K75" t="s">
        <v>466</v>
      </c>
      <c r="L75" t="s">
        <v>155</v>
      </c>
      <c r="M75" t="s">
        <v>43</v>
      </c>
      <c r="N75">
        <v>500</v>
      </c>
      <c r="O75">
        <v>100</v>
      </c>
      <c r="P75">
        <v>1600</v>
      </c>
      <c r="Q75" t="s">
        <v>423</v>
      </c>
      <c r="R75">
        <v>40</v>
      </c>
      <c r="S75">
        <v>40</v>
      </c>
      <c r="U75">
        <v>0</v>
      </c>
      <c r="V75">
        <v>0</v>
      </c>
      <c r="W75">
        <v>0</v>
      </c>
      <c r="X75">
        <v>0</v>
      </c>
      <c r="Y75" t="s">
        <v>424</v>
      </c>
    </row>
    <row r="76" spans="1:25" x14ac:dyDescent="0.25">
      <c r="A76" s="18">
        <v>46255.942372685182</v>
      </c>
      <c r="B76">
        <v>1</v>
      </c>
      <c r="C76" t="s">
        <v>467</v>
      </c>
      <c r="D76">
        <v>-1.5077040968904993E-4</v>
      </c>
      <c r="E76">
        <v>-1.5579609001201826</v>
      </c>
      <c r="F76" t="s">
        <v>252</v>
      </c>
      <c r="J76" s="18">
        <v>46255.942372685182</v>
      </c>
      <c r="K76" t="s">
        <v>467</v>
      </c>
      <c r="L76" t="s">
        <v>155</v>
      </c>
      <c r="M76" t="s">
        <v>43</v>
      </c>
      <c r="N76">
        <v>540</v>
      </c>
      <c r="O76">
        <v>100</v>
      </c>
      <c r="P76">
        <v>1600</v>
      </c>
      <c r="Q76" t="s">
        <v>423</v>
      </c>
      <c r="R76">
        <v>40</v>
      </c>
      <c r="S76">
        <v>40</v>
      </c>
      <c r="U76">
        <v>0</v>
      </c>
      <c r="V76">
        <v>0</v>
      </c>
      <c r="W76">
        <v>0</v>
      </c>
      <c r="X76">
        <v>0</v>
      </c>
      <c r="Y76" t="s">
        <v>424</v>
      </c>
    </row>
    <row r="77" spans="1:25" x14ac:dyDescent="0.25">
      <c r="A77" s="18">
        <v>46255.942372685182</v>
      </c>
      <c r="B77">
        <v>1</v>
      </c>
      <c r="C77" t="s">
        <v>468</v>
      </c>
      <c r="D77">
        <v>-1.0933303849714562E-4</v>
      </c>
      <c r="E77">
        <v>-1.1297747311371713</v>
      </c>
      <c r="F77" t="s">
        <v>252</v>
      </c>
      <c r="J77" s="18">
        <v>46255.942372685182</v>
      </c>
      <c r="K77" t="s">
        <v>468</v>
      </c>
      <c r="L77" t="s">
        <v>155</v>
      </c>
      <c r="M77" t="s">
        <v>43</v>
      </c>
      <c r="N77">
        <v>580</v>
      </c>
      <c r="O77">
        <v>100</v>
      </c>
      <c r="P77">
        <v>1600</v>
      </c>
      <c r="Q77" t="s">
        <v>423</v>
      </c>
      <c r="R77">
        <v>40</v>
      </c>
      <c r="S77">
        <v>40</v>
      </c>
      <c r="U77">
        <v>0</v>
      </c>
      <c r="V77">
        <v>0</v>
      </c>
      <c r="W77">
        <v>0</v>
      </c>
      <c r="X77">
        <v>0</v>
      </c>
      <c r="Y77" t="s">
        <v>424</v>
      </c>
    </row>
    <row r="78" spans="1:25" x14ac:dyDescent="0.25">
      <c r="A78" s="18">
        <v>46255.942372685182</v>
      </c>
      <c r="B78">
        <v>1</v>
      </c>
      <c r="C78" t="s">
        <v>469</v>
      </c>
      <c r="D78">
        <v>-6.1834438287272533E-4</v>
      </c>
      <c r="E78">
        <v>-6.3895586230181616</v>
      </c>
      <c r="F78" t="s">
        <v>252</v>
      </c>
      <c r="J78" s="18">
        <v>46255.942372685182</v>
      </c>
      <c r="K78" t="s">
        <v>469</v>
      </c>
      <c r="L78" t="s">
        <v>155</v>
      </c>
      <c r="M78" t="s">
        <v>43</v>
      </c>
      <c r="N78">
        <v>20</v>
      </c>
      <c r="O78">
        <v>140</v>
      </c>
      <c r="P78">
        <v>1600</v>
      </c>
      <c r="Q78" t="s">
        <v>423</v>
      </c>
      <c r="R78">
        <v>40</v>
      </c>
      <c r="S78">
        <v>40</v>
      </c>
      <c r="U78">
        <v>0</v>
      </c>
      <c r="V78">
        <v>0</v>
      </c>
      <c r="W78">
        <v>0</v>
      </c>
      <c r="X78">
        <v>0</v>
      </c>
      <c r="Y78" t="s">
        <v>424</v>
      </c>
    </row>
    <row r="79" spans="1:25" x14ac:dyDescent="0.25">
      <c r="A79" s="18">
        <v>46255.942372685182</v>
      </c>
      <c r="B79">
        <v>1</v>
      </c>
      <c r="C79" t="s">
        <v>470</v>
      </c>
      <c r="D79">
        <v>-5.7690701168082101E-4</v>
      </c>
      <c r="E79">
        <v>-5.9613724540351507</v>
      </c>
      <c r="F79" t="s">
        <v>252</v>
      </c>
      <c r="J79" s="18">
        <v>46255.942372685182</v>
      </c>
      <c r="K79" t="s">
        <v>470</v>
      </c>
      <c r="L79" t="s">
        <v>155</v>
      </c>
      <c r="M79" t="s">
        <v>43</v>
      </c>
      <c r="N79">
        <v>60</v>
      </c>
      <c r="O79">
        <v>140</v>
      </c>
      <c r="P79">
        <v>1600</v>
      </c>
      <c r="Q79" t="s">
        <v>423</v>
      </c>
      <c r="R79">
        <v>40</v>
      </c>
      <c r="S79">
        <v>40</v>
      </c>
      <c r="U79">
        <v>0</v>
      </c>
      <c r="V79">
        <v>0</v>
      </c>
      <c r="W79">
        <v>0</v>
      </c>
      <c r="X79">
        <v>0</v>
      </c>
      <c r="Y79" t="s">
        <v>424</v>
      </c>
    </row>
    <row r="80" spans="1:25" x14ac:dyDescent="0.25">
      <c r="A80" s="18">
        <v>46255.942372685182</v>
      </c>
      <c r="B80">
        <v>1</v>
      </c>
      <c r="C80" t="s">
        <v>471</v>
      </c>
      <c r="D80">
        <v>-5.3546964048891679E-4</v>
      </c>
      <c r="E80">
        <v>-5.5331862850521398</v>
      </c>
      <c r="F80" t="s">
        <v>252</v>
      </c>
      <c r="J80" s="18">
        <v>46255.942372685182</v>
      </c>
      <c r="K80" t="s">
        <v>471</v>
      </c>
      <c r="L80" t="s">
        <v>155</v>
      </c>
      <c r="M80" t="s">
        <v>43</v>
      </c>
      <c r="N80">
        <v>100</v>
      </c>
      <c r="O80">
        <v>140</v>
      </c>
      <c r="P80">
        <v>1600</v>
      </c>
      <c r="Q80" t="s">
        <v>423</v>
      </c>
      <c r="R80">
        <v>40</v>
      </c>
      <c r="S80">
        <v>40</v>
      </c>
      <c r="U80">
        <v>0</v>
      </c>
      <c r="V80">
        <v>0</v>
      </c>
      <c r="W80">
        <v>0</v>
      </c>
      <c r="X80">
        <v>0</v>
      </c>
      <c r="Y80" t="s">
        <v>424</v>
      </c>
    </row>
    <row r="81" spans="1:25" x14ac:dyDescent="0.25">
      <c r="A81" s="18">
        <v>46255.942372685182</v>
      </c>
      <c r="B81">
        <v>1</v>
      </c>
      <c r="C81" t="s">
        <v>472</v>
      </c>
      <c r="D81">
        <v>-4.9403226929701247E-4</v>
      </c>
      <c r="E81">
        <v>-5.105000116069129</v>
      </c>
      <c r="F81" t="s">
        <v>252</v>
      </c>
      <c r="J81" s="18">
        <v>46255.942372685182</v>
      </c>
      <c r="K81" t="s">
        <v>472</v>
      </c>
      <c r="L81" t="s">
        <v>155</v>
      </c>
      <c r="M81" t="s">
        <v>43</v>
      </c>
      <c r="N81">
        <v>140</v>
      </c>
      <c r="O81">
        <v>140</v>
      </c>
      <c r="P81">
        <v>1600</v>
      </c>
      <c r="Q81" t="s">
        <v>423</v>
      </c>
      <c r="R81">
        <v>40</v>
      </c>
      <c r="S81">
        <v>40</v>
      </c>
      <c r="U81">
        <v>0</v>
      </c>
      <c r="V81">
        <v>0</v>
      </c>
      <c r="W81">
        <v>0</v>
      </c>
      <c r="X81">
        <v>0</v>
      </c>
      <c r="Y81" t="s">
        <v>424</v>
      </c>
    </row>
    <row r="82" spans="1:25" x14ac:dyDescent="0.25">
      <c r="A82" s="18">
        <v>46255.942372685182</v>
      </c>
      <c r="B82">
        <v>1</v>
      </c>
      <c r="C82" t="s">
        <v>473</v>
      </c>
      <c r="D82">
        <v>-4.5259489810510814E-4</v>
      </c>
      <c r="E82">
        <v>-4.6768139470861172</v>
      </c>
      <c r="F82" t="s">
        <v>252</v>
      </c>
      <c r="J82" s="18">
        <v>46255.942372685182</v>
      </c>
      <c r="K82" t="s">
        <v>473</v>
      </c>
      <c r="L82" t="s">
        <v>155</v>
      </c>
      <c r="M82" t="s">
        <v>43</v>
      </c>
      <c r="N82">
        <v>180</v>
      </c>
      <c r="O82">
        <v>140</v>
      </c>
      <c r="P82">
        <v>1600</v>
      </c>
      <c r="Q82" t="s">
        <v>423</v>
      </c>
      <c r="R82">
        <v>40</v>
      </c>
      <c r="S82">
        <v>40</v>
      </c>
      <c r="U82">
        <v>0</v>
      </c>
      <c r="V82">
        <v>0</v>
      </c>
      <c r="W82">
        <v>0</v>
      </c>
      <c r="X82">
        <v>0</v>
      </c>
      <c r="Y82" t="s">
        <v>424</v>
      </c>
    </row>
    <row r="83" spans="1:25" x14ac:dyDescent="0.25">
      <c r="A83" s="18">
        <v>46255.942372685182</v>
      </c>
      <c r="B83">
        <v>1</v>
      </c>
      <c r="C83" t="s">
        <v>474</v>
      </c>
      <c r="D83">
        <v>-4.1115752691320382E-4</v>
      </c>
      <c r="E83">
        <v>-4.2486277781031063</v>
      </c>
      <c r="F83" t="s">
        <v>252</v>
      </c>
      <c r="J83" s="18">
        <v>46255.942372685182</v>
      </c>
      <c r="K83" t="s">
        <v>474</v>
      </c>
      <c r="L83" t="s">
        <v>155</v>
      </c>
      <c r="M83" t="s">
        <v>43</v>
      </c>
      <c r="N83">
        <v>220</v>
      </c>
      <c r="O83">
        <v>140</v>
      </c>
      <c r="P83">
        <v>1600</v>
      </c>
      <c r="Q83" t="s">
        <v>423</v>
      </c>
      <c r="R83">
        <v>40</v>
      </c>
      <c r="S83">
        <v>40</v>
      </c>
      <c r="U83">
        <v>0</v>
      </c>
      <c r="V83">
        <v>0</v>
      </c>
      <c r="W83">
        <v>0</v>
      </c>
      <c r="X83">
        <v>0</v>
      </c>
      <c r="Y83" t="s">
        <v>424</v>
      </c>
    </row>
    <row r="84" spans="1:25" x14ac:dyDescent="0.25">
      <c r="A84" s="18">
        <v>46255.942372685182</v>
      </c>
      <c r="B84">
        <v>1</v>
      </c>
      <c r="C84" t="s">
        <v>475</v>
      </c>
      <c r="D84">
        <v>-3.6972015572129949E-4</v>
      </c>
      <c r="E84">
        <v>-3.8204416091200946</v>
      </c>
      <c r="F84" t="s">
        <v>252</v>
      </c>
      <c r="J84" s="18">
        <v>46255.942372685182</v>
      </c>
      <c r="K84" t="s">
        <v>475</v>
      </c>
      <c r="L84" t="s">
        <v>155</v>
      </c>
      <c r="M84" t="s">
        <v>43</v>
      </c>
      <c r="N84">
        <v>260</v>
      </c>
      <c r="O84">
        <v>140</v>
      </c>
      <c r="P84">
        <v>1600</v>
      </c>
      <c r="Q84" t="s">
        <v>423</v>
      </c>
      <c r="R84">
        <v>40</v>
      </c>
      <c r="S84">
        <v>40</v>
      </c>
      <c r="U84">
        <v>0</v>
      </c>
      <c r="V84">
        <v>0</v>
      </c>
      <c r="W84">
        <v>0</v>
      </c>
      <c r="X84">
        <v>0</v>
      </c>
      <c r="Y84" t="s">
        <v>424</v>
      </c>
    </row>
    <row r="85" spans="1:25" x14ac:dyDescent="0.25">
      <c r="A85" s="18">
        <v>46255.942372685182</v>
      </c>
      <c r="B85">
        <v>1</v>
      </c>
      <c r="C85" t="s">
        <v>476</v>
      </c>
      <c r="D85">
        <v>-3.2828278452939517E-4</v>
      </c>
      <c r="E85">
        <v>-3.3922554401370832</v>
      </c>
      <c r="F85" t="s">
        <v>252</v>
      </c>
      <c r="J85" s="18">
        <v>46255.942372685182</v>
      </c>
      <c r="K85" t="s">
        <v>476</v>
      </c>
      <c r="L85" t="s">
        <v>155</v>
      </c>
      <c r="M85" t="s">
        <v>43</v>
      </c>
      <c r="N85">
        <v>300</v>
      </c>
      <c r="O85">
        <v>140</v>
      </c>
      <c r="P85">
        <v>1600</v>
      </c>
      <c r="Q85" t="s">
        <v>423</v>
      </c>
      <c r="R85">
        <v>40</v>
      </c>
      <c r="S85">
        <v>40</v>
      </c>
      <c r="U85">
        <v>0</v>
      </c>
      <c r="V85">
        <v>0</v>
      </c>
      <c r="W85">
        <v>0</v>
      </c>
      <c r="X85">
        <v>0</v>
      </c>
      <c r="Y85" t="s">
        <v>424</v>
      </c>
    </row>
    <row r="86" spans="1:25" x14ac:dyDescent="0.25">
      <c r="A86" s="18">
        <v>46255.942372685182</v>
      </c>
      <c r="B86">
        <v>1</v>
      </c>
      <c r="C86" t="s">
        <v>477</v>
      </c>
      <c r="D86">
        <v>-2.868454133374909E-4</v>
      </c>
      <c r="E86">
        <v>-2.9640692711540724</v>
      </c>
      <c r="F86" t="s">
        <v>252</v>
      </c>
      <c r="J86" s="18">
        <v>46255.942372685182</v>
      </c>
      <c r="K86" t="s">
        <v>477</v>
      </c>
      <c r="L86" t="s">
        <v>155</v>
      </c>
      <c r="M86" t="s">
        <v>43</v>
      </c>
      <c r="N86">
        <v>340</v>
      </c>
      <c r="O86">
        <v>140</v>
      </c>
      <c r="P86">
        <v>1600</v>
      </c>
      <c r="Q86" t="s">
        <v>423</v>
      </c>
      <c r="R86">
        <v>40</v>
      </c>
      <c r="S86">
        <v>40</v>
      </c>
      <c r="U86">
        <v>0</v>
      </c>
      <c r="V86">
        <v>0</v>
      </c>
      <c r="W86">
        <v>0</v>
      </c>
      <c r="X86">
        <v>0</v>
      </c>
      <c r="Y86" t="s">
        <v>424</v>
      </c>
    </row>
    <row r="87" spans="1:25" x14ac:dyDescent="0.25">
      <c r="A87" s="18">
        <v>46255.942372685182</v>
      </c>
      <c r="B87">
        <v>1</v>
      </c>
      <c r="C87" t="s">
        <v>478</v>
      </c>
      <c r="D87">
        <v>-2.4540804214558657E-4</v>
      </c>
      <c r="E87">
        <v>-2.5358831021710611</v>
      </c>
      <c r="F87" t="s">
        <v>252</v>
      </c>
      <c r="J87" s="18">
        <v>46255.942372685182</v>
      </c>
      <c r="K87" t="s">
        <v>478</v>
      </c>
      <c r="L87" t="s">
        <v>155</v>
      </c>
      <c r="M87" t="s">
        <v>43</v>
      </c>
      <c r="N87">
        <v>380</v>
      </c>
      <c r="O87">
        <v>140</v>
      </c>
      <c r="P87">
        <v>1600</v>
      </c>
      <c r="Q87" t="s">
        <v>423</v>
      </c>
      <c r="R87">
        <v>40</v>
      </c>
      <c r="S87">
        <v>40</v>
      </c>
      <c r="U87">
        <v>0</v>
      </c>
      <c r="V87">
        <v>0</v>
      </c>
      <c r="W87">
        <v>0</v>
      </c>
      <c r="X87">
        <v>0</v>
      </c>
      <c r="Y87" t="s">
        <v>424</v>
      </c>
    </row>
    <row r="88" spans="1:25" x14ac:dyDescent="0.25">
      <c r="A88" s="18">
        <v>46255.942372685182</v>
      </c>
      <c r="B88">
        <v>1</v>
      </c>
      <c r="C88" t="s">
        <v>479</v>
      </c>
      <c r="D88">
        <v>-2.0397067095368225E-4</v>
      </c>
      <c r="E88">
        <v>-2.1076969331880497</v>
      </c>
      <c r="F88" t="s">
        <v>252</v>
      </c>
      <c r="J88" s="18">
        <v>46255.942372685182</v>
      </c>
      <c r="K88" t="s">
        <v>479</v>
      </c>
      <c r="L88" t="s">
        <v>155</v>
      </c>
      <c r="M88" t="s">
        <v>43</v>
      </c>
      <c r="N88">
        <v>420</v>
      </c>
      <c r="O88">
        <v>140</v>
      </c>
      <c r="P88">
        <v>1600</v>
      </c>
      <c r="Q88" t="s">
        <v>423</v>
      </c>
      <c r="R88">
        <v>40</v>
      </c>
      <c r="S88">
        <v>40</v>
      </c>
      <c r="U88">
        <v>0</v>
      </c>
      <c r="V88">
        <v>0</v>
      </c>
      <c r="W88">
        <v>0</v>
      </c>
      <c r="X88">
        <v>0</v>
      </c>
      <c r="Y88" t="s">
        <v>424</v>
      </c>
    </row>
    <row r="89" spans="1:25" x14ac:dyDescent="0.25">
      <c r="A89" s="18">
        <v>46255.942372685182</v>
      </c>
      <c r="B89">
        <v>1</v>
      </c>
      <c r="C89" t="s">
        <v>480</v>
      </c>
      <c r="D89">
        <v>-1.6253329976177795E-4</v>
      </c>
      <c r="E89">
        <v>-1.6795107642050389</v>
      </c>
      <c r="F89" t="s">
        <v>252</v>
      </c>
      <c r="J89" s="18">
        <v>46255.942372685182</v>
      </c>
      <c r="K89" t="s">
        <v>480</v>
      </c>
      <c r="L89" t="s">
        <v>155</v>
      </c>
      <c r="M89" t="s">
        <v>43</v>
      </c>
      <c r="N89">
        <v>460</v>
      </c>
      <c r="O89">
        <v>140</v>
      </c>
      <c r="P89">
        <v>1600</v>
      </c>
      <c r="Q89" t="s">
        <v>423</v>
      </c>
      <c r="R89">
        <v>40</v>
      </c>
      <c r="S89">
        <v>40</v>
      </c>
      <c r="U89">
        <v>0</v>
      </c>
      <c r="V89">
        <v>0</v>
      </c>
      <c r="W89">
        <v>0</v>
      </c>
      <c r="X89">
        <v>0</v>
      </c>
      <c r="Y89" t="s">
        <v>424</v>
      </c>
    </row>
    <row r="90" spans="1:25" x14ac:dyDescent="0.25">
      <c r="A90" s="18">
        <v>46255.942372685182</v>
      </c>
      <c r="B90">
        <v>1</v>
      </c>
      <c r="C90" t="s">
        <v>481</v>
      </c>
      <c r="D90">
        <v>-1.2109592856987363E-4</v>
      </c>
      <c r="E90">
        <v>-1.2513245952220275</v>
      </c>
      <c r="F90" t="s">
        <v>252</v>
      </c>
      <c r="J90" s="18">
        <v>46255.942372685182</v>
      </c>
      <c r="K90" t="s">
        <v>481</v>
      </c>
      <c r="L90" t="s">
        <v>155</v>
      </c>
      <c r="M90" t="s">
        <v>43</v>
      </c>
      <c r="N90">
        <v>500</v>
      </c>
      <c r="O90">
        <v>140</v>
      </c>
      <c r="P90">
        <v>1600</v>
      </c>
      <c r="Q90" t="s">
        <v>423</v>
      </c>
      <c r="R90">
        <v>40</v>
      </c>
      <c r="S90">
        <v>40</v>
      </c>
      <c r="U90">
        <v>0</v>
      </c>
      <c r="V90">
        <v>0</v>
      </c>
      <c r="W90">
        <v>0</v>
      </c>
      <c r="X90">
        <v>0</v>
      </c>
      <c r="Y90" t="s">
        <v>424</v>
      </c>
    </row>
    <row r="91" spans="1:25" x14ac:dyDescent="0.25">
      <c r="A91" s="18">
        <v>46255.942372685182</v>
      </c>
      <c r="B91">
        <v>1</v>
      </c>
      <c r="C91" t="s">
        <v>482</v>
      </c>
      <c r="D91">
        <v>-7.9658557377969316E-5</v>
      </c>
      <c r="E91">
        <v>-0.82313842623901623</v>
      </c>
      <c r="F91" t="s">
        <v>252</v>
      </c>
      <c r="J91" s="18">
        <v>46255.942372685182</v>
      </c>
      <c r="K91" t="s">
        <v>482</v>
      </c>
      <c r="L91" t="s">
        <v>155</v>
      </c>
      <c r="M91" t="s">
        <v>43</v>
      </c>
      <c r="N91">
        <v>540</v>
      </c>
      <c r="O91">
        <v>140</v>
      </c>
      <c r="P91">
        <v>1600</v>
      </c>
      <c r="Q91" t="s">
        <v>423</v>
      </c>
      <c r="R91">
        <v>40</v>
      </c>
      <c r="S91">
        <v>40</v>
      </c>
      <c r="U91">
        <v>0</v>
      </c>
      <c r="V91">
        <v>0</v>
      </c>
      <c r="W91">
        <v>0</v>
      </c>
      <c r="X91">
        <v>0</v>
      </c>
      <c r="Y91" t="s">
        <v>424</v>
      </c>
    </row>
    <row r="92" spans="1:25" x14ac:dyDescent="0.25">
      <c r="A92" s="18">
        <v>46255.942372685182</v>
      </c>
      <c r="B92">
        <v>1</v>
      </c>
      <c r="C92" t="s">
        <v>483</v>
      </c>
      <c r="D92">
        <v>-3.8221186186065004E-5</v>
      </c>
      <c r="E92">
        <v>-0.39495225725600502</v>
      </c>
      <c r="F92" t="s">
        <v>252</v>
      </c>
      <c r="J92" s="18">
        <v>46255.942372685182</v>
      </c>
      <c r="K92" t="s">
        <v>483</v>
      </c>
      <c r="L92" t="s">
        <v>155</v>
      </c>
      <c r="M92" t="s">
        <v>43</v>
      </c>
      <c r="N92">
        <v>580</v>
      </c>
      <c r="O92">
        <v>140</v>
      </c>
      <c r="P92">
        <v>1600</v>
      </c>
      <c r="Q92" t="s">
        <v>423</v>
      </c>
      <c r="R92">
        <v>40</v>
      </c>
      <c r="S92">
        <v>40</v>
      </c>
      <c r="U92">
        <v>0</v>
      </c>
      <c r="V92">
        <v>0</v>
      </c>
      <c r="W92">
        <v>0</v>
      </c>
      <c r="X92">
        <v>0</v>
      </c>
      <c r="Y92" t="s">
        <v>424</v>
      </c>
    </row>
    <row r="93" spans="1:25" x14ac:dyDescent="0.25">
      <c r="A93" s="18">
        <v>46255.942372685182</v>
      </c>
      <c r="B93">
        <v>1</v>
      </c>
      <c r="C93" t="s">
        <v>484</v>
      </c>
      <c r="D93">
        <v>-5.4723253056164478E-4</v>
      </c>
      <c r="E93">
        <v>-5.6547361491369958</v>
      </c>
      <c r="F93" t="s">
        <v>252</v>
      </c>
      <c r="J93" s="18">
        <v>46255.942372685182</v>
      </c>
      <c r="K93" t="s">
        <v>484</v>
      </c>
      <c r="L93" t="s">
        <v>155</v>
      </c>
      <c r="M93" t="s">
        <v>43</v>
      </c>
      <c r="N93">
        <v>20</v>
      </c>
      <c r="O93">
        <v>180</v>
      </c>
      <c r="P93">
        <v>1600</v>
      </c>
      <c r="Q93" t="s">
        <v>423</v>
      </c>
      <c r="R93">
        <v>40</v>
      </c>
      <c r="S93">
        <v>40</v>
      </c>
      <c r="U93">
        <v>0</v>
      </c>
      <c r="V93">
        <v>0</v>
      </c>
      <c r="W93">
        <v>0</v>
      </c>
      <c r="X93">
        <v>0</v>
      </c>
      <c r="Y93" t="s">
        <v>424</v>
      </c>
    </row>
    <row r="94" spans="1:25" x14ac:dyDescent="0.25">
      <c r="A94" s="18">
        <v>46255.942372685182</v>
      </c>
      <c r="B94">
        <v>1</v>
      </c>
      <c r="C94" t="s">
        <v>485</v>
      </c>
      <c r="D94">
        <v>-5.0579515936974046E-4</v>
      </c>
      <c r="E94">
        <v>-5.226549980153985</v>
      </c>
      <c r="F94" t="s">
        <v>252</v>
      </c>
      <c r="J94" s="18">
        <v>46255.942372685182</v>
      </c>
      <c r="K94" t="s">
        <v>485</v>
      </c>
      <c r="L94" t="s">
        <v>155</v>
      </c>
      <c r="M94" t="s">
        <v>43</v>
      </c>
      <c r="N94">
        <v>60</v>
      </c>
      <c r="O94">
        <v>180</v>
      </c>
      <c r="P94">
        <v>1600</v>
      </c>
      <c r="Q94" t="s">
        <v>423</v>
      </c>
      <c r="R94">
        <v>40</v>
      </c>
      <c r="S94">
        <v>40</v>
      </c>
      <c r="U94">
        <v>0</v>
      </c>
      <c r="V94">
        <v>0</v>
      </c>
      <c r="W94">
        <v>0</v>
      </c>
      <c r="X94">
        <v>0</v>
      </c>
      <c r="Y94" t="s">
        <v>424</v>
      </c>
    </row>
    <row r="95" spans="1:25" x14ac:dyDescent="0.25">
      <c r="A95" s="18">
        <v>46255.942372685182</v>
      </c>
      <c r="B95">
        <v>1</v>
      </c>
      <c r="C95" t="s">
        <v>486</v>
      </c>
      <c r="D95">
        <v>-4.6435778817783613E-4</v>
      </c>
      <c r="E95">
        <v>-4.7983638111709732</v>
      </c>
      <c r="F95" t="s">
        <v>252</v>
      </c>
      <c r="J95" s="18">
        <v>46255.942372685182</v>
      </c>
      <c r="K95" t="s">
        <v>486</v>
      </c>
      <c r="L95" t="s">
        <v>155</v>
      </c>
      <c r="M95" t="s">
        <v>43</v>
      </c>
      <c r="N95">
        <v>100</v>
      </c>
      <c r="O95">
        <v>180</v>
      </c>
      <c r="P95">
        <v>1600</v>
      </c>
      <c r="Q95" t="s">
        <v>423</v>
      </c>
      <c r="R95">
        <v>40</v>
      </c>
      <c r="S95">
        <v>40</v>
      </c>
      <c r="U95">
        <v>0</v>
      </c>
      <c r="V95">
        <v>0</v>
      </c>
      <c r="W95">
        <v>0</v>
      </c>
      <c r="X95">
        <v>0</v>
      </c>
      <c r="Y95" t="s">
        <v>424</v>
      </c>
    </row>
    <row r="96" spans="1:25" x14ac:dyDescent="0.25">
      <c r="A96" s="18">
        <v>46255.942372685182</v>
      </c>
      <c r="B96">
        <v>1</v>
      </c>
      <c r="C96" t="s">
        <v>487</v>
      </c>
      <c r="D96">
        <v>-4.2292041698593181E-4</v>
      </c>
      <c r="E96">
        <v>-4.3701776421879623</v>
      </c>
      <c r="F96" t="s">
        <v>252</v>
      </c>
      <c r="J96" s="18">
        <v>46255.942372685182</v>
      </c>
      <c r="K96" t="s">
        <v>487</v>
      </c>
      <c r="L96" t="s">
        <v>155</v>
      </c>
      <c r="M96" t="s">
        <v>43</v>
      </c>
      <c r="N96">
        <v>140</v>
      </c>
      <c r="O96">
        <v>180</v>
      </c>
      <c r="P96">
        <v>1600</v>
      </c>
      <c r="Q96" t="s">
        <v>423</v>
      </c>
      <c r="R96">
        <v>40</v>
      </c>
      <c r="S96">
        <v>40</v>
      </c>
      <c r="U96">
        <v>0</v>
      </c>
      <c r="V96">
        <v>0</v>
      </c>
      <c r="W96">
        <v>0</v>
      </c>
      <c r="X96">
        <v>0</v>
      </c>
      <c r="Y96" t="s">
        <v>424</v>
      </c>
    </row>
    <row r="97" spans="1:25" x14ac:dyDescent="0.25">
      <c r="A97" s="18">
        <v>46255.942372685182</v>
      </c>
      <c r="B97">
        <v>1</v>
      </c>
      <c r="C97" t="s">
        <v>488</v>
      </c>
      <c r="D97">
        <v>-3.8148304579402749E-4</v>
      </c>
      <c r="E97">
        <v>-3.9419914732049506</v>
      </c>
      <c r="F97" t="s">
        <v>252</v>
      </c>
      <c r="J97" s="18">
        <v>46255.942372685182</v>
      </c>
      <c r="K97" t="s">
        <v>488</v>
      </c>
      <c r="L97" t="s">
        <v>155</v>
      </c>
      <c r="M97" t="s">
        <v>43</v>
      </c>
      <c r="N97">
        <v>180</v>
      </c>
      <c r="O97">
        <v>180</v>
      </c>
      <c r="P97">
        <v>1600</v>
      </c>
      <c r="Q97" t="s">
        <v>423</v>
      </c>
      <c r="R97">
        <v>40</v>
      </c>
      <c r="S97">
        <v>40</v>
      </c>
      <c r="U97">
        <v>0</v>
      </c>
      <c r="V97">
        <v>0</v>
      </c>
      <c r="W97">
        <v>0</v>
      </c>
      <c r="X97">
        <v>0</v>
      </c>
      <c r="Y97" t="s">
        <v>424</v>
      </c>
    </row>
    <row r="98" spans="1:25" x14ac:dyDescent="0.25">
      <c r="A98" s="18">
        <v>46255.942372685182</v>
      </c>
      <c r="B98">
        <v>1</v>
      </c>
      <c r="C98" t="s">
        <v>489</v>
      </c>
      <c r="D98">
        <v>-3.4004567460212316E-4</v>
      </c>
      <c r="E98">
        <v>-3.5138053042219393</v>
      </c>
      <c r="F98" t="s">
        <v>252</v>
      </c>
      <c r="J98" s="18">
        <v>46255.942372685182</v>
      </c>
      <c r="K98" t="s">
        <v>489</v>
      </c>
      <c r="L98" t="s">
        <v>155</v>
      </c>
      <c r="M98" t="s">
        <v>43</v>
      </c>
      <c r="N98">
        <v>220</v>
      </c>
      <c r="O98">
        <v>180</v>
      </c>
      <c r="P98">
        <v>1600</v>
      </c>
      <c r="Q98" t="s">
        <v>423</v>
      </c>
      <c r="R98">
        <v>40</v>
      </c>
      <c r="S98">
        <v>40</v>
      </c>
      <c r="U98">
        <v>0</v>
      </c>
      <c r="V98">
        <v>0</v>
      </c>
      <c r="W98">
        <v>0</v>
      </c>
      <c r="X98">
        <v>0</v>
      </c>
      <c r="Y98" t="s">
        <v>424</v>
      </c>
    </row>
    <row r="99" spans="1:25" x14ac:dyDescent="0.25">
      <c r="A99" s="18">
        <v>46255.942372685182</v>
      </c>
      <c r="B99">
        <v>1</v>
      </c>
      <c r="C99" t="s">
        <v>490</v>
      </c>
      <c r="D99">
        <v>-2.9860830341021889E-4</v>
      </c>
      <c r="E99">
        <v>-3.0856191352389284</v>
      </c>
      <c r="F99" t="s">
        <v>252</v>
      </c>
      <c r="J99" s="18">
        <v>46255.942372685182</v>
      </c>
      <c r="K99" t="s">
        <v>490</v>
      </c>
      <c r="L99" t="s">
        <v>155</v>
      </c>
      <c r="M99" t="s">
        <v>43</v>
      </c>
      <c r="N99">
        <v>260</v>
      </c>
      <c r="O99">
        <v>180</v>
      </c>
      <c r="P99">
        <v>1600</v>
      </c>
      <c r="Q99" t="s">
        <v>423</v>
      </c>
      <c r="R99">
        <v>40</v>
      </c>
      <c r="S99">
        <v>40</v>
      </c>
      <c r="U99">
        <v>0</v>
      </c>
      <c r="V99">
        <v>0</v>
      </c>
      <c r="W99">
        <v>0</v>
      </c>
      <c r="X99">
        <v>0</v>
      </c>
      <c r="Y99" t="s">
        <v>424</v>
      </c>
    </row>
    <row r="100" spans="1:25" x14ac:dyDescent="0.25">
      <c r="A100" s="18">
        <v>46255.942372685182</v>
      </c>
      <c r="B100">
        <v>1</v>
      </c>
      <c r="C100" t="s">
        <v>491</v>
      </c>
      <c r="D100">
        <v>-2.5717093221831457E-4</v>
      </c>
      <c r="E100">
        <v>-2.6574329662559171</v>
      </c>
      <c r="F100" t="s">
        <v>252</v>
      </c>
      <c r="J100" s="18">
        <v>46255.942372685182</v>
      </c>
      <c r="K100" t="s">
        <v>491</v>
      </c>
      <c r="L100" t="s">
        <v>155</v>
      </c>
      <c r="M100" t="s">
        <v>43</v>
      </c>
      <c r="N100">
        <v>300</v>
      </c>
      <c r="O100">
        <v>180</v>
      </c>
      <c r="P100">
        <v>1600</v>
      </c>
      <c r="Q100" t="s">
        <v>423</v>
      </c>
      <c r="R100">
        <v>40</v>
      </c>
      <c r="S100">
        <v>40</v>
      </c>
      <c r="U100">
        <v>0</v>
      </c>
      <c r="V100">
        <v>0</v>
      </c>
      <c r="W100">
        <v>0</v>
      </c>
      <c r="X100">
        <v>0</v>
      </c>
      <c r="Y100" t="s">
        <v>424</v>
      </c>
    </row>
    <row r="101" spans="1:25" x14ac:dyDescent="0.25">
      <c r="A101" s="18">
        <v>46255.942372685182</v>
      </c>
      <c r="B101">
        <v>1</v>
      </c>
      <c r="C101" t="s">
        <v>492</v>
      </c>
      <c r="D101">
        <v>-2.1573356102641024E-4</v>
      </c>
      <c r="E101">
        <v>-2.2292467972729058</v>
      </c>
      <c r="F101" t="s">
        <v>252</v>
      </c>
      <c r="J101" s="18">
        <v>46255.942372685182</v>
      </c>
      <c r="K101" t="s">
        <v>492</v>
      </c>
      <c r="L101" t="s">
        <v>155</v>
      </c>
      <c r="M101" t="s">
        <v>43</v>
      </c>
      <c r="N101">
        <v>340</v>
      </c>
      <c r="O101">
        <v>180</v>
      </c>
      <c r="P101">
        <v>1600</v>
      </c>
      <c r="Q101" t="s">
        <v>423</v>
      </c>
      <c r="R101">
        <v>40</v>
      </c>
      <c r="S101">
        <v>40</v>
      </c>
      <c r="U101">
        <v>0</v>
      </c>
      <c r="V101">
        <v>0</v>
      </c>
      <c r="W101">
        <v>0</v>
      </c>
      <c r="X101">
        <v>0</v>
      </c>
      <c r="Y101" t="s">
        <v>424</v>
      </c>
    </row>
    <row r="102" spans="1:25" x14ac:dyDescent="0.25">
      <c r="A102" s="18">
        <v>46255.942372685182</v>
      </c>
      <c r="B102">
        <v>1</v>
      </c>
      <c r="C102" t="s">
        <v>493</v>
      </c>
      <c r="D102">
        <v>-1.7429618983450594E-4</v>
      </c>
      <c r="E102">
        <v>-1.8010606282898947</v>
      </c>
      <c r="F102" t="s">
        <v>252</v>
      </c>
      <c r="J102" s="18">
        <v>46255.942372685182</v>
      </c>
      <c r="K102" t="s">
        <v>493</v>
      </c>
      <c r="L102" t="s">
        <v>155</v>
      </c>
      <c r="M102" t="s">
        <v>43</v>
      </c>
      <c r="N102">
        <v>380</v>
      </c>
      <c r="O102">
        <v>180</v>
      </c>
      <c r="P102">
        <v>1600</v>
      </c>
      <c r="Q102" t="s">
        <v>423</v>
      </c>
      <c r="R102">
        <v>40</v>
      </c>
      <c r="S102">
        <v>40</v>
      </c>
      <c r="U102">
        <v>0</v>
      </c>
      <c r="V102">
        <v>0</v>
      </c>
      <c r="W102">
        <v>0</v>
      </c>
      <c r="X102">
        <v>0</v>
      </c>
      <c r="Y102" t="s">
        <v>424</v>
      </c>
    </row>
    <row r="103" spans="1:25" x14ac:dyDescent="0.25">
      <c r="A103" s="18">
        <v>46255.942372685182</v>
      </c>
      <c r="B103">
        <v>1</v>
      </c>
      <c r="C103" t="s">
        <v>494</v>
      </c>
      <c r="D103">
        <v>-1.3285881864260162E-4</v>
      </c>
      <c r="E103">
        <v>-1.3728744593068833</v>
      </c>
      <c r="F103" t="s">
        <v>252</v>
      </c>
      <c r="J103" s="18">
        <v>46255.942372685182</v>
      </c>
      <c r="K103" t="s">
        <v>494</v>
      </c>
      <c r="L103" t="s">
        <v>155</v>
      </c>
      <c r="M103" t="s">
        <v>43</v>
      </c>
      <c r="N103">
        <v>420</v>
      </c>
      <c r="O103">
        <v>180</v>
      </c>
      <c r="P103">
        <v>1600</v>
      </c>
      <c r="Q103" t="s">
        <v>423</v>
      </c>
      <c r="R103">
        <v>40</v>
      </c>
      <c r="S103">
        <v>40</v>
      </c>
      <c r="U103">
        <v>0</v>
      </c>
      <c r="V103">
        <v>0</v>
      </c>
      <c r="W103">
        <v>0</v>
      </c>
      <c r="X103">
        <v>0</v>
      </c>
      <c r="Y103" t="s">
        <v>424</v>
      </c>
    </row>
    <row r="104" spans="1:25" x14ac:dyDescent="0.25">
      <c r="A104" s="18">
        <v>46255.942372685182</v>
      </c>
      <c r="B104">
        <v>1</v>
      </c>
      <c r="C104" t="s">
        <v>495</v>
      </c>
      <c r="D104">
        <v>-9.1421447450697321E-5</v>
      </c>
      <c r="E104">
        <v>-0.94468829032387225</v>
      </c>
      <c r="F104" t="s">
        <v>252</v>
      </c>
      <c r="J104" s="18">
        <v>46255.942372685182</v>
      </c>
      <c r="K104" t="s">
        <v>495</v>
      </c>
      <c r="L104" t="s">
        <v>155</v>
      </c>
      <c r="M104" t="s">
        <v>43</v>
      </c>
      <c r="N104">
        <v>460</v>
      </c>
      <c r="O104">
        <v>180</v>
      </c>
      <c r="P104">
        <v>1600</v>
      </c>
      <c r="Q104" t="s">
        <v>423</v>
      </c>
      <c r="R104">
        <v>40</v>
      </c>
      <c r="S104">
        <v>40</v>
      </c>
      <c r="U104">
        <v>0</v>
      </c>
      <c r="V104">
        <v>0</v>
      </c>
      <c r="W104">
        <v>0</v>
      </c>
      <c r="X104">
        <v>0</v>
      </c>
      <c r="Y104" t="s">
        <v>424</v>
      </c>
    </row>
    <row r="105" spans="1:25" x14ac:dyDescent="0.25">
      <c r="A105" s="18">
        <v>46255.942372685182</v>
      </c>
      <c r="B105">
        <v>1</v>
      </c>
      <c r="C105" t="s">
        <v>496</v>
      </c>
      <c r="D105">
        <v>-4.998407625879301E-5</v>
      </c>
      <c r="E105">
        <v>-0.51650212134086104</v>
      </c>
      <c r="F105" t="s">
        <v>252</v>
      </c>
      <c r="J105" s="18">
        <v>46255.942372685182</v>
      </c>
      <c r="K105" t="s">
        <v>496</v>
      </c>
      <c r="L105" t="s">
        <v>155</v>
      </c>
      <c r="M105" t="s">
        <v>43</v>
      </c>
      <c r="N105">
        <v>500</v>
      </c>
      <c r="O105">
        <v>180</v>
      </c>
      <c r="P105">
        <v>1600</v>
      </c>
      <c r="Q105" t="s">
        <v>423</v>
      </c>
      <c r="R105">
        <v>40</v>
      </c>
      <c r="S105">
        <v>40</v>
      </c>
      <c r="U105">
        <v>0</v>
      </c>
      <c r="V105">
        <v>0</v>
      </c>
      <c r="W105">
        <v>0</v>
      </c>
      <c r="X105">
        <v>0</v>
      </c>
      <c r="Y105" t="s">
        <v>424</v>
      </c>
    </row>
    <row r="106" spans="1:25" x14ac:dyDescent="0.25">
      <c r="A106" s="18">
        <v>46255.942372685182</v>
      </c>
      <c r="B106">
        <v>1</v>
      </c>
      <c r="C106" t="s">
        <v>497</v>
      </c>
      <c r="D106">
        <v>-8.546705066888697E-6</v>
      </c>
      <c r="E106">
        <v>-8.8315952357849864E-2</v>
      </c>
      <c r="F106" t="s">
        <v>252</v>
      </c>
      <c r="J106" s="18">
        <v>46255.942372685182</v>
      </c>
      <c r="K106" t="s">
        <v>497</v>
      </c>
      <c r="L106" t="s">
        <v>155</v>
      </c>
      <c r="M106" t="s">
        <v>43</v>
      </c>
      <c r="N106">
        <v>540</v>
      </c>
      <c r="O106">
        <v>180</v>
      </c>
      <c r="P106">
        <v>1600</v>
      </c>
      <c r="Q106" t="s">
        <v>423</v>
      </c>
      <c r="R106">
        <v>40</v>
      </c>
      <c r="S106">
        <v>40</v>
      </c>
      <c r="U106">
        <v>0</v>
      </c>
      <c r="V106">
        <v>0</v>
      </c>
      <c r="W106">
        <v>0</v>
      </c>
      <c r="X106">
        <v>0</v>
      </c>
      <c r="Y106" t="s">
        <v>424</v>
      </c>
    </row>
    <row r="107" spans="1:25" x14ac:dyDescent="0.25">
      <c r="A107" s="18">
        <v>46255.942372685182</v>
      </c>
      <c r="B107">
        <v>1</v>
      </c>
      <c r="C107" t="s">
        <v>498</v>
      </c>
      <c r="D107">
        <v>3.2890666125015612E-5</v>
      </c>
      <c r="E107">
        <v>0</v>
      </c>
      <c r="F107" t="s">
        <v>579</v>
      </c>
      <c r="J107" s="18">
        <v>46255.942372685182</v>
      </c>
      <c r="K107" t="s">
        <v>498</v>
      </c>
      <c r="L107" t="s">
        <v>155</v>
      </c>
      <c r="M107" t="s">
        <v>43</v>
      </c>
      <c r="N107">
        <v>580</v>
      </c>
      <c r="O107">
        <v>180</v>
      </c>
      <c r="P107">
        <v>1600</v>
      </c>
      <c r="Q107" t="s">
        <v>423</v>
      </c>
      <c r="R107">
        <v>40</v>
      </c>
      <c r="S107">
        <v>40</v>
      </c>
      <c r="U107">
        <v>0</v>
      </c>
      <c r="V107">
        <v>0</v>
      </c>
      <c r="W107">
        <v>0</v>
      </c>
      <c r="X107">
        <v>0</v>
      </c>
      <c r="Y107" t="s">
        <v>424</v>
      </c>
    </row>
    <row r="108" spans="1:25" x14ac:dyDescent="0.25">
      <c r="A108" s="18">
        <v>46255.942372685182</v>
      </c>
      <c r="B108">
        <v>1</v>
      </c>
      <c r="C108" t="s">
        <v>499</v>
      </c>
      <c r="D108">
        <v>-4.7612067825056413E-4</v>
      </c>
      <c r="E108">
        <v>-4.9199136752558292</v>
      </c>
      <c r="F108" t="s">
        <v>252</v>
      </c>
      <c r="J108" s="18">
        <v>46255.942372685182</v>
      </c>
      <c r="K108" t="s">
        <v>499</v>
      </c>
      <c r="L108" t="s">
        <v>155</v>
      </c>
      <c r="M108" t="s">
        <v>43</v>
      </c>
      <c r="N108">
        <v>20</v>
      </c>
      <c r="O108">
        <v>220</v>
      </c>
      <c r="P108">
        <v>1600</v>
      </c>
      <c r="Q108" t="s">
        <v>423</v>
      </c>
      <c r="R108">
        <v>40</v>
      </c>
      <c r="S108">
        <v>40</v>
      </c>
      <c r="U108">
        <v>0</v>
      </c>
      <c r="V108">
        <v>0</v>
      </c>
      <c r="W108">
        <v>0</v>
      </c>
      <c r="X108">
        <v>0</v>
      </c>
      <c r="Y108" t="s">
        <v>424</v>
      </c>
    </row>
    <row r="109" spans="1:25" x14ac:dyDescent="0.25">
      <c r="A109" s="18">
        <v>46255.942372685182</v>
      </c>
      <c r="B109">
        <v>1</v>
      </c>
      <c r="C109" t="s">
        <v>500</v>
      </c>
      <c r="D109">
        <v>-4.346833070586598E-4</v>
      </c>
      <c r="E109">
        <v>-4.4917275062728175</v>
      </c>
      <c r="F109" t="s">
        <v>252</v>
      </c>
      <c r="J109" s="18">
        <v>46255.942372685182</v>
      </c>
      <c r="K109" t="s">
        <v>500</v>
      </c>
      <c r="L109" t="s">
        <v>155</v>
      </c>
      <c r="M109" t="s">
        <v>43</v>
      </c>
      <c r="N109">
        <v>60</v>
      </c>
      <c r="O109">
        <v>220</v>
      </c>
      <c r="P109">
        <v>1600</v>
      </c>
      <c r="Q109" t="s">
        <v>423</v>
      </c>
      <c r="R109">
        <v>40</v>
      </c>
      <c r="S109">
        <v>40</v>
      </c>
      <c r="U109">
        <v>0</v>
      </c>
      <c r="V109">
        <v>0</v>
      </c>
      <c r="W109">
        <v>0</v>
      </c>
      <c r="X109">
        <v>0</v>
      </c>
      <c r="Y109" t="s">
        <v>424</v>
      </c>
    </row>
    <row r="110" spans="1:25" x14ac:dyDescent="0.25">
      <c r="A110" s="18">
        <v>46255.942372685182</v>
      </c>
      <c r="B110">
        <v>1</v>
      </c>
      <c r="C110" t="s">
        <v>501</v>
      </c>
      <c r="D110">
        <v>-3.9324593586675548E-4</v>
      </c>
      <c r="E110">
        <v>-4.0635413372898066</v>
      </c>
      <c r="F110" t="s">
        <v>252</v>
      </c>
      <c r="J110" s="18">
        <v>46255.942372685182</v>
      </c>
      <c r="K110" t="s">
        <v>501</v>
      </c>
      <c r="L110" t="s">
        <v>155</v>
      </c>
      <c r="M110" t="s">
        <v>43</v>
      </c>
      <c r="N110">
        <v>100</v>
      </c>
      <c r="O110">
        <v>220</v>
      </c>
      <c r="P110">
        <v>1600</v>
      </c>
      <c r="Q110" t="s">
        <v>423</v>
      </c>
      <c r="R110">
        <v>40</v>
      </c>
      <c r="S110">
        <v>40</v>
      </c>
      <c r="U110">
        <v>0</v>
      </c>
      <c r="V110">
        <v>0</v>
      </c>
      <c r="W110">
        <v>0</v>
      </c>
      <c r="X110">
        <v>0</v>
      </c>
      <c r="Y110" t="s">
        <v>424</v>
      </c>
    </row>
    <row r="111" spans="1:25" x14ac:dyDescent="0.25">
      <c r="A111" s="18">
        <v>46255.942372685182</v>
      </c>
      <c r="B111">
        <v>1</v>
      </c>
      <c r="C111" t="s">
        <v>502</v>
      </c>
      <c r="D111">
        <v>-3.5180856467485121E-4</v>
      </c>
      <c r="E111">
        <v>-3.6353551683067957</v>
      </c>
      <c r="F111" t="s">
        <v>252</v>
      </c>
      <c r="J111" s="18">
        <v>46255.942372685182</v>
      </c>
      <c r="K111" t="s">
        <v>502</v>
      </c>
      <c r="L111" t="s">
        <v>155</v>
      </c>
      <c r="M111" t="s">
        <v>43</v>
      </c>
      <c r="N111">
        <v>140</v>
      </c>
      <c r="O111">
        <v>220</v>
      </c>
      <c r="P111">
        <v>1600</v>
      </c>
      <c r="Q111" t="s">
        <v>423</v>
      </c>
      <c r="R111">
        <v>40</v>
      </c>
      <c r="S111">
        <v>40</v>
      </c>
      <c r="U111">
        <v>0</v>
      </c>
      <c r="V111">
        <v>0</v>
      </c>
      <c r="W111">
        <v>0</v>
      </c>
      <c r="X111">
        <v>0</v>
      </c>
      <c r="Y111" t="s">
        <v>424</v>
      </c>
    </row>
    <row r="112" spans="1:25" x14ac:dyDescent="0.25">
      <c r="A112" s="18">
        <v>46255.942372685182</v>
      </c>
      <c r="B112">
        <v>1</v>
      </c>
      <c r="C112" t="s">
        <v>503</v>
      </c>
      <c r="D112">
        <v>-3.1037119348294688E-4</v>
      </c>
      <c r="E112">
        <v>-3.2071689993237844</v>
      </c>
      <c r="F112" t="s">
        <v>252</v>
      </c>
      <c r="J112" s="18">
        <v>46255.942372685182</v>
      </c>
      <c r="K112" t="s">
        <v>503</v>
      </c>
      <c r="L112" t="s">
        <v>155</v>
      </c>
      <c r="M112" t="s">
        <v>43</v>
      </c>
      <c r="N112">
        <v>180</v>
      </c>
      <c r="O112">
        <v>220</v>
      </c>
      <c r="P112">
        <v>1600</v>
      </c>
      <c r="Q112" t="s">
        <v>423</v>
      </c>
      <c r="R112">
        <v>40</v>
      </c>
      <c r="S112">
        <v>40</v>
      </c>
      <c r="U112">
        <v>0</v>
      </c>
      <c r="V112">
        <v>0</v>
      </c>
      <c r="W112">
        <v>0</v>
      </c>
      <c r="X112">
        <v>0</v>
      </c>
      <c r="Y112" t="s">
        <v>424</v>
      </c>
    </row>
    <row r="113" spans="1:25" x14ac:dyDescent="0.25">
      <c r="A113" s="18">
        <v>46255.942372685182</v>
      </c>
      <c r="B113">
        <v>1</v>
      </c>
      <c r="C113" t="s">
        <v>504</v>
      </c>
      <c r="D113">
        <v>-2.6893382229104256E-4</v>
      </c>
      <c r="E113">
        <v>-2.7789828303407731</v>
      </c>
      <c r="F113" t="s">
        <v>252</v>
      </c>
      <c r="J113" s="18">
        <v>46255.942372685182</v>
      </c>
      <c r="K113" t="s">
        <v>504</v>
      </c>
      <c r="L113" t="s">
        <v>155</v>
      </c>
      <c r="M113" t="s">
        <v>43</v>
      </c>
      <c r="N113">
        <v>220</v>
      </c>
      <c r="O113">
        <v>220</v>
      </c>
      <c r="P113">
        <v>1600</v>
      </c>
      <c r="Q113" t="s">
        <v>423</v>
      </c>
      <c r="R113">
        <v>40</v>
      </c>
      <c r="S113">
        <v>40</v>
      </c>
      <c r="U113">
        <v>0</v>
      </c>
      <c r="V113">
        <v>0</v>
      </c>
      <c r="W113">
        <v>0</v>
      </c>
      <c r="X113">
        <v>0</v>
      </c>
      <c r="Y113" t="s">
        <v>424</v>
      </c>
    </row>
    <row r="114" spans="1:25" x14ac:dyDescent="0.25">
      <c r="A114" s="18">
        <v>46255.942372685182</v>
      </c>
      <c r="B114">
        <v>1</v>
      </c>
      <c r="C114" t="s">
        <v>505</v>
      </c>
      <c r="D114">
        <v>-2.2749645109913826E-4</v>
      </c>
      <c r="E114">
        <v>-2.3507966613577618</v>
      </c>
      <c r="F114" t="s">
        <v>252</v>
      </c>
      <c r="J114" s="18">
        <v>46255.942372685182</v>
      </c>
      <c r="K114" t="s">
        <v>505</v>
      </c>
      <c r="L114" t="s">
        <v>155</v>
      </c>
      <c r="M114" t="s">
        <v>43</v>
      </c>
      <c r="N114">
        <v>260</v>
      </c>
      <c r="O114">
        <v>220</v>
      </c>
      <c r="P114">
        <v>1600</v>
      </c>
      <c r="Q114" t="s">
        <v>423</v>
      </c>
      <c r="R114">
        <v>40</v>
      </c>
      <c r="S114">
        <v>40</v>
      </c>
      <c r="U114">
        <v>0</v>
      </c>
      <c r="V114">
        <v>0</v>
      </c>
      <c r="W114">
        <v>0</v>
      </c>
      <c r="X114">
        <v>0</v>
      </c>
      <c r="Y114" t="s">
        <v>424</v>
      </c>
    </row>
    <row r="115" spans="1:25" x14ac:dyDescent="0.25">
      <c r="A115" s="18">
        <v>46255.942372685182</v>
      </c>
      <c r="B115">
        <v>1</v>
      </c>
      <c r="C115" t="s">
        <v>506</v>
      </c>
      <c r="D115">
        <v>-1.8605907990723393E-4</v>
      </c>
      <c r="E115">
        <v>-1.9226104923747507</v>
      </c>
      <c r="F115" t="s">
        <v>252</v>
      </c>
      <c r="J115" s="18">
        <v>46255.942372685182</v>
      </c>
      <c r="K115" t="s">
        <v>506</v>
      </c>
      <c r="L115" t="s">
        <v>155</v>
      </c>
      <c r="M115" t="s">
        <v>43</v>
      </c>
      <c r="N115">
        <v>300</v>
      </c>
      <c r="O115">
        <v>220</v>
      </c>
      <c r="P115">
        <v>1600</v>
      </c>
      <c r="Q115" t="s">
        <v>423</v>
      </c>
      <c r="R115">
        <v>40</v>
      </c>
      <c r="S115">
        <v>40</v>
      </c>
      <c r="U115">
        <v>0</v>
      </c>
      <c r="V115">
        <v>0</v>
      </c>
      <c r="W115">
        <v>0</v>
      </c>
      <c r="X115">
        <v>0</v>
      </c>
      <c r="Y115" t="s">
        <v>424</v>
      </c>
    </row>
    <row r="116" spans="1:25" x14ac:dyDescent="0.25">
      <c r="A116" s="18">
        <v>46255.942372685182</v>
      </c>
      <c r="B116">
        <v>1</v>
      </c>
      <c r="C116" t="s">
        <v>507</v>
      </c>
      <c r="D116">
        <v>-1.4462170871532964E-4</v>
      </c>
      <c r="E116">
        <v>-1.4944243233917396</v>
      </c>
      <c r="F116" t="s">
        <v>252</v>
      </c>
      <c r="J116" s="18">
        <v>46255.942372685182</v>
      </c>
      <c r="K116" t="s">
        <v>507</v>
      </c>
      <c r="L116" t="s">
        <v>155</v>
      </c>
      <c r="M116" t="s">
        <v>43</v>
      </c>
      <c r="N116">
        <v>340</v>
      </c>
      <c r="O116">
        <v>220</v>
      </c>
      <c r="P116">
        <v>1600</v>
      </c>
      <c r="Q116" t="s">
        <v>423</v>
      </c>
      <c r="R116">
        <v>40</v>
      </c>
      <c r="S116">
        <v>40</v>
      </c>
      <c r="U116">
        <v>0</v>
      </c>
      <c r="V116">
        <v>0</v>
      </c>
      <c r="W116">
        <v>0</v>
      </c>
      <c r="X116">
        <v>0</v>
      </c>
      <c r="Y116" t="s">
        <v>424</v>
      </c>
    </row>
    <row r="117" spans="1:25" x14ac:dyDescent="0.25">
      <c r="A117" s="18">
        <v>46255.942372685182</v>
      </c>
      <c r="B117">
        <v>1</v>
      </c>
      <c r="C117" t="s">
        <v>508</v>
      </c>
      <c r="D117">
        <v>-1.0318433752342533E-4</v>
      </c>
      <c r="E117">
        <v>-1.0662381544087283</v>
      </c>
      <c r="F117" t="s">
        <v>252</v>
      </c>
      <c r="J117" s="18">
        <v>46255.942372685182</v>
      </c>
      <c r="K117" t="s">
        <v>508</v>
      </c>
      <c r="L117" t="s">
        <v>155</v>
      </c>
      <c r="M117" t="s">
        <v>43</v>
      </c>
      <c r="N117">
        <v>380</v>
      </c>
      <c r="O117">
        <v>220</v>
      </c>
      <c r="P117">
        <v>1600</v>
      </c>
      <c r="Q117" t="s">
        <v>423</v>
      </c>
      <c r="R117">
        <v>40</v>
      </c>
      <c r="S117">
        <v>40</v>
      </c>
      <c r="U117">
        <v>0</v>
      </c>
      <c r="V117">
        <v>0</v>
      </c>
      <c r="W117">
        <v>0</v>
      </c>
      <c r="X117">
        <v>0</v>
      </c>
      <c r="Y117" t="s">
        <v>424</v>
      </c>
    </row>
    <row r="118" spans="1:25" x14ac:dyDescent="0.25">
      <c r="A118" s="18">
        <v>46255.942372685182</v>
      </c>
      <c r="B118">
        <v>1</v>
      </c>
      <c r="C118" t="s">
        <v>509</v>
      </c>
      <c r="D118">
        <v>-6.1746966331521015E-5</v>
      </c>
      <c r="E118">
        <v>-0.63805198542571717</v>
      </c>
      <c r="F118" t="s">
        <v>252</v>
      </c>
      <c r="J118" s="18">
        <v>46255.942372685182</v>
      </c>
      <c r="K118" t="s">
        <v>509</v>
      </c>
      <c r="L118" t="s">
        <v>155</v>
      </c>
      <c r="M118" t="s">
        <v>43</v>
      </c>
      <c r="N118">
        <v>420</v>
      </c>
      <c r="O118">
        <v>220</v>
      </c>
      <c r="P118">
        <v>1600</v>
      </c>
      <c r="Q118" t="s">
        <v>423</v>
      </c>
      <c r="R118">
        <v>40</v>
      </c>
      <c r="S118">
        <v>40</v>
      </c>
      <c r="U118">
        <v>0</v>
      </c>
      <c r="V118">
        <v>0</v>
      </c>
      <c r="W118">
        <v>0</v>
      </c>
      <c r="X118">
        <v>0</v>
      </c>
      <c r="Y118" t="s">
        <v>424</v>
      </c>
    </row>
    <row r="119" spans="1:25" x14ac:dyDescent="0.25">
      <c r="A119" s="18">
        <v>46255.942372685182</v>
      </c>
      <c r="B119">
        <v>1</v>
      </c>
      <c r="C119" t="s">
        <v>510</v>
      </c>
      <c r="D119">
        <v>-2.0309595139616697E-5</v>
      </c>
      <c r="E119">
        <v>-0.20986581644270585</v>
      </c>
      <c r="F119" t="s">
        <v>252</v>
      </c>
      <c r="J119" s="18">
        <v>46255.942372685182</v>
      </c>
      <c r="K119" t="s">
        <v>510</v>
      </c>
      <c r="L119" t="s">
        <v>155</v>
      </c>
      <c r="M119" t="s">
        <v>43</v>
      </c>
      <c r="N119">
        <v>460</v>
      </c>
      <c r="O119">
        <v>220</v>
      </c>
      <c r="P119">
        <v>1600</v>
      </c>
      <c r="Q119" t="s">
        <v>423</v>
      </c>
      <c r="R119">
        <v>40</v>
      </c>
      <c r="S119">
        <v>40</v>
      </c>
      <c r="U119">
        <v>0</v>
      </c>
      <c r="V119">
        <v>0</v>
      </c>
      <c r="W119">
        <v>0</v>
      </c>
      <c r="X119">
        <v>0</v>
      </c>
      <c r="Y119" t="s">
        <v>424</v>
      </c>
    </row>
    <row r="120" spans="1:25" x14ac:dyDescent="0.25">
      <c r="A120" s="18">
        <v>46255.942372685182</v>
      </c>
      <c r="B120">
        <v>1</v>
      </c>
      <c r="C120" t="s">
        <v>511</v>
      </c>
      <c r="D120">
        <v>2.1127776052287614E-5</v>
      </c>
      <c r="E120">
        <v>0</v>
      </c>
      <c r="F120" t="s">
        <v>579</v>
      </c>
      <c r="J120" s="18">
        <v>46255.942372685182</v>
      </c>
      <c r="K120" t="s">
        <v>511</v>
      </c>
      <c r="L120" t="s">
        <v>155</v>
      </c>
      <c r="M120" t="s">
        <v>43</v>
      </c>
      <c r="N120">
        <v>500</v>
      </c>
      <c r="O120">
        <v>220</v>
      </c>
      <c r="P120">
        <v>1600</v>
      </c>
      <c r="Q120" t="s">
        <v>423</v>
      </c>
      <c r="R120">
        <v>40</v>
      </c>
      <c r="S120">
        <v>40</v>
      </c>
      <c r="U120">
        <v>0</v>
      </c>
      <c r="V120">
        <v>0</v>
      </c>
      <c r="W120">
        <v>0</v>
      </c>
      <c r="X120">
        <v>0</v>
      </c>
      <c r="Y120" t="s">
        <v>424</v>
      </c>
    </row>
    <row r="121" spans="1:25" x14ac:dyDescent="0.25">
      <c r="A121" s="18">
        <v>46255.942372685182</v>
      </c>
      <c r="B121">
        <v>1</v>
      </c>
      <c r="C121" t="s">
        <v>512</v>
      </c>
      <c r="D121">
        <v>6.2565147244191918E-5</v>
      </c>
      <c r="E121">
        <v>0</v>
      </c>
      <c r="F121" t="s">
        <v>579</v>
      </c>
      <c r="J121" s="18">
        <v>46255.942372685182</v>
      </c>
      <c r="K121" t="s">
        <v>512</v>
      </c>
      <c r="L121" t="s">
        <v>155</v>
      </c>
      <c r="M121" t="s">
        <v>43</v>
      </c>
      <c r="N121">
        <v>540</v>
      </c>
      <c r="O121">
        <v>220</v>
      </c>
      <c r="P121">
        <v>1600</v>
      </c>
      <c r="Q121" t="s">
        <v>423</v>
      </c>
      <c r="R121">
        <v>40</v>
      </c>
      <c r="S121">
        <v>40</v>
      </c>
      <c r="U121">
        <v>0</v>
      </c>
      <c r="V121">
        <v>0</v>
      </c>
      <c r="W121">
        <v>0</v>
      </c>
      <c r="X121">
        <v>0</v>
      </c>
      <c r="Y121" t="s">
        <v>424</v>
      </c>
    </row>
    <row r="122" spans="1:25" x14ac:dyDescent="0.25">
      <c r="A122" s="18">
        <v>46255.942372685182</v>
      </c>
      <c r="B122">
        <v>1</v>
      </c>
      <c r="C122" t="s">
        <v>513</v>
      </c>
      <c r="D122">
        <v>1.0400251843609623E-4</v>
      </c>
      <c r="E122">
        <v>0</v>
      </c>
      <c r="F122" t="s">
        <v>579</v>
      </c>
      <c r="J122" s="18">
        <v>46255.942372685182</v>
      </c>
      <c r="K122" t="s">
        <v>513</v>
      </c>
      <c r="L122" t="s">
        <v>155</v>
      </c>
      <c r="M122" t="s">
        <v>43</v>
      </c>
      <c r="N122">
        <v>580</v>
      </c>
      <c r="O122">
        <v>220</v>
      </c>
      <c r="P122">
        <v>1600</v>
      </c>
      <c r="Q122" t="s">
        <v>423</v>
      </c>
      <c r="R122">
        <v>40</v>
      </c>
      <c r="S122">
        <v>40</v>
      </c>
      <c r="U122">
        <v>0</v>
      </c>
      <c r="V122">
        <v>0</v>
      </c>
      <c r="W122">
        <v>0</v>
      </c>
      <c r="X122">
        <v>0</v>
      </c>
      <c r="Y122" t="s">
        <v>424</v>
      </c>
    </row>
    <row r="123" spans="1:25" x14ac:dyDescent="0.25">
      <c r="A123" s="18">
        <v>46255.942372685182</v>
      </c>
      <c r="B123">
        <v>1</v>
      </c>
      <c r="C123" t="s">
        <v>514</v>
      </c>
      <c r="D123">
        <v>-4.0500882593948352E-4</v>
      </c>
      <c r="E123">
        <v>-4.1850912013746626</v>
      </c>
      <c r="F123" t="s">
        <v>252</v>
      </c>
      <c r="J123" s="18">
        <v>46255.942372685182</v>
      </c>
      <c r="K123" t="s">
        <v>514</v>
      </c>
      <c r="L123" t="s">
        <v>155</v>
      </c>
      <c r="M123" t="s">
        <v>43</v>
      </c>
      <c r="N123">
        <v>20</v>
      </c>
      <c r="O123">
        <v>260</v>
      </c>
      <c r="P123">
        <v>1600</v>
      </c>
      <c r="Q123" t="s">
        <v>423</v>
      </c>
      <c r="R123">
        <v>40</v>
      </c>
      <c r="S123">
        <v>40</v>
      </c>
      <c r="U123">
        <v>0</v>
      </c>
      <c r="V123">
        <v>0</v>
      </c>
      <c r="W123">
        <v>0</v>
      </c>
      <c r="X123">
        <v>0</v>
      </c>
      <c r="Y123" t="s">
        <v>424</v>
      </c>
    </row>
    <row r="124" spans="1:25" x14ac:dyDescent="0.25">
      <c r="A124" s="18">
        <v>46255.942372685182</v>
      </c>
      <c r="B124">
        <v>1</v>
      </c>
      <c r="C124" t="s">
        <v>515</v>
      </c>
      <c r="D124">
        <v>-3.635714547475792E-4</v>
      </c>
      <c r="E124">
        <v>-3.7569050323916517</v>
      </c>
      <c r="F124" t="s">
        <v>252</v>
      </c>
      <c r="J124" s="18">
        <v>46255.942372685182</v>
      </c>
      <c r="K124" t="s">
        <v>515</v>
      </c>
      <c r="L124" t="s">
        <v>155</v>
      </c>
      <c r="M124" t="s">
        <v>43</v>
      </c>
      <c r="N124">
        <v>60</v>
      </c>
      <c r="O124">
        <v>260</v>
      </c>
      <c r="P124">
        <v>1600</v>
      </c>
      <c r="Q124" t="s">
        <v>423</v>
      </c>
      <c r="R124">
        <v>40</v>
      </c>
      <c r="S124">
        <v>40</v>
      </c>
      <c r="U124">
        <v>0</v>
      </c>
      <c r="V124">
        <v>0</v>
      </c>
      <c r="W124">
        <v>0</v>
      </c>
      <c r="X124">
        <v>0</v>
      </c>
      <c r="Y124" t="s">
        <v>424</v>
      </c>
    </row>
    <row r="125" spans="1:25" x14ac:dyDescent="0.25">
      <c r="A125" s="18">
        <v>46255.942372685182</v>
      </c>
      <c r="B125">
        <v>1</v>
      </c>
      <c r="C125" t="s">
        <v>516</v>
      </c>
      <c r="D125">
        <v>-3.2213408355567487E-4</v>
      </c>
      <c r="E125">
        <v>-3.3287188634086404</v>
      </c>
      <c r="F125" t="s">
        <v>252</v>
      </c>
      <c r="J125" s="18">
        <v>46255.942372685182</v>
      </c>
      <c r="K125" t="s">
        <v>516</v>
      </c>
      <c r="L125" t="s">
        <v>155</v>
      </c>
      <c r="M125" t="s">
        <v>43</v>
      </c>
      <c r="N125">
        <v>100</v>
      </c>
      <c r="O125">
        <v>260</v>
      </c>
      <c r="P125">
        <v>1600</v>
      </c>
      <c r="Q125" t="s">
        <v>423</v>
      </c>
      <c r="R125">
        <v>40</v>
      </c>
      <c r="S125">
        <v>40</v>
      </c>
      <c r="U125">
        <v>0</v>
      </c>
      <c r="V125">
        <v>0</v>
      </c>
      <c r="W125">
        <v>0</v>
      </c>
      <c r="X125">
        <v>0</v>
      </c>
      <c r="Y125" t="s">
        <v>424</v>
      </c>
    </row>
    <row r="126" spans="1:25" x14ac:dyDescent="0.25">
      <c r="A126" s="18">
        <v>46255.942372685182</v>
      </c>
      <c r="B126">
        <v>1</v>
      </c>
      <c r="C126" t="s">
        <v>517</v>
      </c>
      <c r="D126">
        <v>-2.8069671236377055E-4</v>
      </c>
      <c r="E126">
        <v>-2.9005326944256291</v>
      </c>
      <c r="F126" t="s">
        <v>252</v>
      </c>
      <c r="J126" s="18">
        <v>46255.942372685182</v>
      </c>
      <c r="K126" t="s">
        <v>517</v>
      </c>
      <c r="L126" t="s">
        <v>155</v>
      </c>
      <c r="M126" t="s">
        <v>43</v>
      </c>
      <c r="N126">
        <v>140</v>
      </c>
      <c r="O126">
        <v>260</v>
      </c>
      <c r="P126">
        <v>1600</v>
      </c>
      <c r="Q126" t="s">
        <v>423</v>
      </c>
      <c r="R126">
        <v>40</v>
      </c>
      <c r="S126">
        <v>40</v>
      </c>
      <c r="U126">
        <v>0</v>
      </c>
      <c r="V126">
        <v>0</v>
      </c>
      <c r="W126">
        <v>0</v>
      </c>
      <c r="X126">
        <v>0</v>
      </c>
      <c r="Y126" t="s">
        <v>424</v>
      </c>
    </row>
    <row r="127" spans="1:25" x14ac:dyDescent="0.25">
      <c r="A127" s="18">
        <v>46255.942372685182</v>
      </c>
      <c r="B127">
        <v>1</v>
      </c>
      <c r="C127" t="s">
        <v>518</v>
      </c>
      <c r="D127">
        <v>-2.3925934117186625E-4</v>
      </c>
      <c r="E127">
        <v>-2.4723465254426178</v>
      </c>
      <c r="F127" t="s">
        <v>252</v>
      </c>
      <c r="J127" s="18">
        <v>46255.942372685182</v>
      </c>
      <c r="K127" t="s">
        <v>518</v>
      </c>
      <c r="L127" t="s">
        <v>155</v>
      </c>
      <c r="M127" t="s">
        <v>43</v>
      </c>
      <c r="N127">
        <v>180</v>
      </c>
      <c r="O127">
        <v>260</v>
      </c>
      <c r="P127">
        <v>1600</v>
      </c>
      <c r="Q127" t="s">
        <v>423</v>
      </c>
      <c r="R127">
        <v>40</v>
      </c>
      <c r="S127">
        <v>40</v>
      </c>
      <c r="U127">
        <v>0</v>
      </c>
      <c r="V127">
        <v>0</v>
      </c>
      <c r="W127">
        <v>0</v>
      </c>
      <c r="X127">
        <v>0</v>
      </c>
      <c r="Y127" t="s">
        <v>424</v>
      </c>
    </row>
    <row r="128" spans="1:25" x14ac:dyDescent="0.25">
      <c r="A128" s="18">
        <v>46255.942372685182</v>
      </c>
      <c r="B128">
        <v>1</v>
      </c>
      <c r="C128" t="s">
        <v>519</v>
      </c>
      <c r="D128">
        <v>-1.9782196997996195E-4</v>
      </c>
      <c r="E128">
        <v>-2.0441603564596069</v>
      </c>
      <c r="F128" t="s">
        <v>252</v>
      </c>
      <c r="J128" s="18">
        <v>46255.942372685182</v>
      </c>
      <c r="K128" t="s">
        <v>519</v>
      </c>
      <c r="L128" t="s">
        <v>155</v>
      </c>
      <c r="M128" t="s">
        <v>43</v>
      </c>
      <c r="N128">
        <v>220</v>
      </c>
      <c r="O128">
        <v>260</v>
      </c>
      <c r="P128">
        <v>1600</v>
      </c>
      <c r="Q128" t="s">
        <v>423</v>
      </c>
      <c r="R128">
        <v>40</v>
      </c>
      <c r="S128">
        <v>40</v>
      </c>
      <c r="U128">
        <v>0</v>
      </c>
      <c r="V128">
        <v>0</v>
      </c>
      <c r="W128">
        <v>0</v>
      </c>
      <c r="X128">
        <v>0</v>
      </c>
      <c r="Y128" t="s">
        <v>424</v>
      </c>
    </row>
    <row r="129" spans="1:25" x14ac:dyDescent="0.25">
      <c r="A129" s="18">
        <v>46255.942372685182</v>
      </c>
      <c r="B129">
        <v>1</v>
      </c>
      <c r="C129" t="s">
        <v>520</v>
      </c>
      <c r="D129">
        <v>-3.3389697362840287E-4</v>
      </c>
      <c r="E129">
        <v>-3.450268727493496</v>
      </c>
      <c r="F129" t="s">
        <v>252</v>
      </c>
      <c r="J129" s="18">
        <v>46255.942372685182</v>
      </c>
      <c r="K129" t="s">
        <v>520</v>
      </c>
      <c r="L129" t="s">
        <v>155</v>
      </c>
      <c r="M129" t="s">
        <v>43</v>
      </c>
      <c r="N129">
        <v>20</v>
      </c>
      <c r="O129">
        <v>300</v>
      </c>
      <c r="P129">
        <v>1600</v>
      </c>
      <c r="Q129" t="s">
        <v>423</v>
      </c>
      <c r="R129">
        <v>40</v>
      </c>
      <c r="S129">
        <v>40</v>
      </c>
      <c r="U129">
        <v>0</v>
      </c>
      <c r="V129">
        <v>0</v>
      </c>
      <c r="W129">
        <v>0</v>
      </c>
      <c r="X129">
        <v>0</v>
      </c>
      <c r="Y129" t="s">
        <v>424</v>
      </c>
    </row>
    <row r="130" spans="1:25" x14ac:dyDescent="0.25">
      <c r="A130" s="18">
        <v>46255.942372685182</v>
      </c>
      <c r="B130">
        <v>1</v>
      </c>
      <c r="C130" t="s">
        <v>521</v>
      </c>
      <c r="D130">
        <v>-2.924596024364986E-4</v>
      </c>
      <c r="E130">
        <v>-3.0220825585104856</v>
      </c>
      <c r="F130" t="s">
        <v>252</v>
      </c>
      <c r="J130" s="18">
        <v>46255.942372685182</v>
      </c>
      <c r="K130" t="s">
        <v>521</v>
      </c>
      <c r="L130" t="s">
        <v>155</v>
      </c>
      <c r="M130" t="s">
        <v>43</v>
      </c>
      <c r="N130">
        <v>60</v>
      </c>
      <c r="O130">
        <v>300</v>
      </c>
      <c r="P130">
        <v>1600</v>
      </c>
      <c r="Q130" t="s">
        <v>423</v>
      </c>
      <c r="R130">
        <v>40</v>
      </c>
      <c r="S130">
        <v>40</v>
      </c>
      <c r="U130">
        <v>0</v>
      </c>
      <c r="V130">
        <v>0</v>
      </c>
      <c r="W130">
        <v>0</v>
      </c>
      <c r="X130">
        <v>0</v>
      </c>
      <c r="Y130" t="s">
        <v>424</v>
      </c>
    </row>
    <row r="131" spans="1:25" x14ac:dyDescent="0.25">
      <c r="A131" s="18">
        <v>46255.942372685182</v>
      </c>
      <c r="B131">
        <v>1</v>
      </c>
      <c r="C131" t="s">
        <v>522</v>
      </c>
      <c r="D131">
        <v>-2.5102223124459427E-4</v>
      </c>
      <c r="E131">
        <v>-2.5938963895274743</v>
      </c>
      <c r="F131" t="s">
        <v>252</v>
      </c>
      <c r="J131" s="18">
        <v>46255.942372685182</v>
      </c>
      <c r="K131" t="s">
        <v>522</v>
      </c>
      <c r="L131" t="s">
        <v>155</v>
      </c>
      <c r="M131" t="s">
        <v>43</v>
      </c>
      <c r="N131">
        <v>100</v>
      </c>
      <c r="O131">
        <v>300</v>
      </c>
      <c r="P131">
        <v>1600</v>
      </c>
      <c r="Q131" t="s">
        <v>423</v>
      </c>
      <c r="R131">
        <v>40</v>
      </c>
      <c r="S131">
        <v>40</v>
      </c>
      <c r="U131">
        <v>0</v>
      </c>
      <c r="V131">
        <v>0</v>
      </c>
      <c r="W131">
        <v>0</v>
      </c>
      <c r="X131">
        <v>0</v>
      </c>
      <c r="Y131" t="s">
        <v>424</v>
      </c>
    </row>
    <row r="132" spans="1:25" x14ac:dyDescent="0.25">
      <c r="A132" s="18">
        <v>46255.942372685182</v>
      </c>
      <c r="B132">
        <v>1</v>
      </c>
      <c r="C132" t="s">
        <v>523</v>
      </c>
      <c r="D132">
        <v>-2.0958486005268995E-4</v>
      </c>
      <c r="E132">
        <v>-2.1657102205444629</v>
      </c>
      <c r="F132" t="s">
        <v>252</v>
      </c>
      <c r="J132" s="18">
        <v>46255.942372685182</v>
      </c>
      <c r="K132" t="s">
        <v>523</v>
      </c>
      <c r="L132" t="s">
        <v>155</v>
      </c>
      <c r="M132" t="s">
        <v>43</v>
      </c>
      <c r="N132">
        <v>140</v>
      </c>
      <c r="O132">
        <v>300</v>
      </c>
      <c r="P132">
        <v>1600</v>
      </c>
      <c r="Q132" t="s">
        <v>423</v>
      </c>
      <c r="R132">
        <v>40</v>
      </c>
      <c r="S132">
        <v>40</v>
      </c>
      <c r="U132">
        <v>0</v>
      </c>
      <c r="V132">
        <v>0</v>
      </c>
      <c r="W132">
        <v>0</v>
      </c>
      <c r="X132">
        <v>0</v>
      </c>
      <c r="Y132" t="s">
        <v>424</v>
      </c>
    </row>
    <row r="133" spans="1:25" x14ac:dyDescent="0.25">
      <c r="A133" s="18">
        <v>46255.942372685182</v>
      </c>
      <c r="B133">
        <v>1</v>
      </c>
      <c r="C133" t="s">
        <v>524</v>
      </c>
      <c r="D133">
        <v>-1.6814748886078565E-4</v>
      </c>
      <c r="E133">
        <v>-1.7375240515614516</v>
      </c>
      <c r="F133" t="s">
        <v>252</v>
      </c>
      <c r="J133" s="18">
        <v>46255.942372685182</v>
      </c>
      <c r="K133" t="s">
        <v>524</v>
      </c>
      <c r="L133" t="s">
        <v>155</v>
      </c>
      <c r="M133" t="s">
        <v>43</v>
      </c>
      <c r="N133">
        <v>180</v>
      </c>
      <c r="O133">
        <v>300</v>
      </c>
      <c r="P133">
        <v>1600</v>
      </c>
      <c r="Q133" t="s">
        <v>423</v>
      </c>
      <c r="R133">
        <v>40</v>
      </c>
      <c r="S133">
        <v>40</v>
      </c>
      <c r="U133">
        <v>0</v>
      </c>
      <c r="V133">
        <v>0</v>
      </c>
      <c r="W133">
        <v>0</v>
      </c>
      <c r="X133">
        <v>0</v>
      </c>
      <c r="Y133" t="s">
        <v>424</v>
      </c>
    </row>
    <row r="134" spans="1:25" x14ac:dyDescent="0.25">
      <c r="A134" s="18">
        <v>46255.942372685182</v>
      </c>
      <c r="B134">
        <v>1</v>
      </c>
      <c r="C134" t="s">
        <v>525</v>
      </c>
      <c r="D134">
        <v>-1.2671011766888132E-4</v>
      </c>
      <c r="E134">
        <v>-1.3093378825784403</v>
      </c>
      <c r="F134" t="s">
        <v>252</v>
      </c>
      <c r="J134" s="18">
        <v>46255.942372685182</v>
      </c>
      <c r="K134" t="s">
        <v>525</v>
      </c>
      <c r="L134" t="s">
        <v>155</v>
      </c>
      <c r="M134" t="s">
        <v>43</v>
      </c>
      <c r="N134">
        <v>220</v>
      </c>
      <c r="O134">
        <v>300</v>
      </c>
      <c r="P134">
        <v>1600</v>
      </c>
      <c r="Q134" t="s">
        <v>423</v>
      </c>
      <c r="R134">
        <v>40</v>
      </c>
      <c r="S134">
        <v>40</v>
      </c>
      <c r="U134">
        <v>0</v>
      </c>
      <c r="V134">
        <v>0</v>
      </c>
      <c r="W134">
        <v>0</v>
      </c>
      <c r="X134">
        <v>0</v>
      </c>
      <c r="Y134" t="s">
        <v>424</v>
      </c>
    </row>
    <row r="135" spans="1:25" x14ac:dyDescent="0.25">
      <c r="A135" s="18">
        <v>46255.942372685182</v>
      </c>
      <c r="B135">
        <v>1</v>
      </c>
      <c r="C135" t="s">
        <v>526</v>
      </c>
      <c r="D135">
        <v>-2.6278512131732226E-4</v>
      </c>
      <c r="E135">
        <v>-2.7154462536123298</v>
      </c>
      <c r="F135" t="s">
        <v>252</v>
      </c>
      <c r="J135" s="18">
        <v>46255.942372685182</v>
      </c>
      <c r="K135" t="s">
        <v>526</v>
      </c>
      <c r="L135" t="s">
        <v>155</v>
      </c>
      <c r="M135" t="s">
        <v>43</v>
      </c>
      <c r="N135">
        <v>20</v>
      </c>
      <c r="O135">
        <v>340</v>
      </c>
      <c r="P135">
        <v>1600</v>
      </c>
      <c r="Q135" t="s">
        <v>423</v>
      </c>
      <c r="R135">
        <v>40</v>
      </c>
      <c r="S135">
        <v>40</v>
      </c>
      <c r="U135">
        <v>0</v>
      </c>
      <c r="V135">
        <v>0</v>
      </c>
      <c r="W135">
        <v>0</v>
      </c>
      <c r="X135">
        <v>0</v>
      </c>
      <c r="Y135" t="s">
        <v>424</v>
      </c>
    </row>
    <row r="136" spans="1:25" x14ac:dyDescent="0.25">
      <c r="A136" s="18">
        <v>46255.942372685182</v>
      </c>
      <c r="B136">
        <v>1</v>
      </c>
      <c r="C136" t="s">
        <v>527</v>
      </c>
      <c r="D136">
        <v>-2.2134775012541794E-4</v>
      </c>
      <c r="E136">
        <v>-2.2872600846293185</v>
      </c>
      <c r="F136" t="s">
        <v>252</v>
      </c>
      <c r="J136" s="18">
        <v>46255.942372685182</v>
      </c>
      <c r="K136" t="s">
        <v>527</v>
      </c>
      <c r="L136" t="s">
        <v>155</v>
      </c>
      <c r="M136" t="s">
        <v>43</v>
      </c>
      <c r="N136">
        <v>60</v>
      </c>
      <c r="O136">
        <v>340</v>
      </c>
      <c r="P136">
        <v>1600</v>
      </c>
      <c r="Q136" t="s">
        <v>423</v>
      </c>
      <c r="R136">
        <v>40</v>
      </c>
      <c r="S136">
        <v>40</v>
      </c>
      <c r="U136">
        <v>0</v>
      </c>
      <c r="V136">
        <v>0</v>
      </c>
      <c r="W136">
        <v>0</v>
      </c>
      <c r="X136">
        <v>0</v>
      </c>
      <c r="Y136" t="s">
        <v>424</v>
      </c>
    </row>
    <row r="137" spans="1:25" x14ac:dyDescent="0.25">
      <c r="A137" s="18">
        <v>46255.942372685182</v>
      </c>
      <c r="B137">
        <v>1</v>
      </c>
      <c r="C137" t="s">
        <v>528</v>
      </c>
      <c r="D137">
        <v>-1.7991037893351364E-4</v>
      </c>
      <c r="E137">
        <v>-1.8590739156463076</v>
      </c>
      <c r="F137" t="s">
        <v>252</v>
      </c>
      <c r="J137" s="18">
        <v>46255.942372685182</v>
      </c>
      <c r="K137" t="s">
        <v>528</v>
      </c>
      <c r="L137" t="s">
        <v>155</v>
      </c>
      <c r="M137" t="s">
        <v>43</v>
      </c>
      <c r="N137">
        <v>100</v>
      </c>
      <c r="O137">
        <v>340</v>
      </c>
      <c r="P137">
        <v>1600</v>
      </c>
      <c r="Q137" t="s">
        <v>423</v>
      </c>
      <c r="R137">
        <v>40</v>
      </c>
      <c r="S137">
        <v>40</v>
      </c>
      <c r="U137">
        <v>0</v>
      </c>
      <c r="V137">
        <v>0</v>
      </c>
      <c r="W137">
        <v>0</v>
      </c>
      <c r="X137">
        <v>0</v>
      </c>
      <c r="Y137" t="s">
        <v>424</v>
      </c>
    </row>
    <row r="138" spans="1:25" x14ac:dyDescent="0.25">
      <c r="A138" s="18">
        <v>46255.942372685182</v>
      </c>
      <c r="B138">
        <v>1</v>
      </c>
      <c r="C138" t="s">
        <v>529</v>
      </c>
      <c r="D138">
        <v>-1.3847300774160932E-4</v>
      </c>
      <c r="E138">
        <v>-1.4308877466632963</v>
      </c>
      <c r="F138" t="s">
        <v>252</v>
      </c>
      <c r="J138" s="18">
        <v>46255.942372685182</v>
      </c>
      <c r="K138" t="s">
        <v>529</v>
      </c>
      <c r="L138" t="s">
        <v>155</v>
      </c>
      <c r="M138" t="s">
        <v>43</v>
      </c>
      <c r="N138">
        <v>140</v>
      </c>
      <c r="O138">
        <v>340</v>
      </c>
      <c r="P138">
        <v>1600</v>
      </c>
      <c r="Q138" t="s">
        <v>423</v>
      </c>
      <c r="R138">
        <v>40</v>
      </c>
      <c r="S138">
        <v>40</v>
      </c>
      <c r="U138">
        <v>0</v>
      </c>
      <c r="V138">
        <v>0</v>
      </c>
      <c r="W138">
        <v>0</v>
      </c>
      <c r="X138">
        <v>0</v>
      </c>
      <c r="Y138" t="s">
        <v>424</v>
      </c>
    </row>
    <row r="139" spans="1:25" x14ac:dyDescent="0.25">
      <c r="A139" s="18">
        <v>46255.942372685182</v>
      </c>
      <c r="B139">
        <v>1</v>
      </c>
      <c r="C139" t="s">
        <v>530</v>
      </c>
      <c r="D139">
        <v>-9.7035636549705018E-5</v>
      </c>
      <c r="E139">
        <v>-1.0027015776802852</v>
      </c>
      <c r="F139" t="s">
        <v>252</v>
      </c>
      <c r="J139" s="18">
        <v>46255.942372685182</v>
      </c>
      <c r="K139" t="s">
        <v>530</v>
      </c>
      <c r="L139" t="s">
        <v>155</v>
      </c>
      <c r="M139" t="s">
        <v>43</v>
      </c>
      <c r="N139">
        <v>180</v>
      </c>
      <c r="O139">
        <v>340</v>
      </c>
      <c r="P139">
        <v>1600</v>
      </c>
      <c r="Q139" t="s">
        <v>423</v>
      </c>
      <c r="R139">
        <v>40</v>
      </c>
      <c r="S139">
        <v>40</v>
      </c>
      <c r="U139">
        <v>0</v>
      </c>
      <c r="V139">
        <v>0</v>
      </c>
      <c r="W139">
        <v>0</v>
      </c>
      <c r="X139">
        <v>0</v>
      </c>
      <c r="Y139" t="s">
        <v>424</v>
      </c>
    </row>
    <row r="140" spans="1:25" x14ac:dyDescent="0.25">
      <c r="A140" s="18">
        <v>46255.942372685182</v>
      </c>
      <c r="B140">
        <v>1</v>
      </c>
      <c r="C140" t="s">
        <v>531</v>
      </c>
      <c r="D140">
        <v>-5.5598265357800707E-5</v>
      </c>
      <c r="E140">
        <v>-0.57451540869727391</v>
      </c>
      <c r="F140" t="s">
        <v>252</v>
      </c>
      <c r="J140" s="18">
        <v>46255.942372685182</v>
      </c>
      <c r="K140" t="s">
        <v>531</v>
      </c>
      <c r="L140" t="s">
        <v>155</v>
      </c>
      <c r="M140" t="s">
        <v>43</v>
      </c>
      <c r="N140">
        <v>220</v>
      </c>
      <c r="O140">
        <v>340</v>
      </c>
      <c r="P140">
        <v>1600</v>
      </c>
      <c r="Q140" t="s">
        <v>423</v>
      </c>
      <c r="R140">
        <v>40</v>
      </c>
      <c r="S140">
        <v>40</v>
      </c>
      <c r="U140">
        <v>0</v>
      </c>
      <c r="V140">
        <v>0</v>
      </c>
      <c r="W140">
        <v>0</v>
      </c>
      <c r="X140">
        <v>0</v>
      </c>
      <c r="Y140" t="s">
        <v>424</v>
      </c>
    </row>
    <row r="141" spans="1:25" x14ac:dyDescent="0.25">
      <c r="A141" s="18">
        <v>46255.942372685182</v>
      </c>
      <c r="B141">
        <v>1</v>
      </c>
      <c r="C141" t="s">
        <v>532</v>
      </c>
      <c r="D141">
        <v>-1.9167326900624163E-4</v>
      </c>
      <c r="E141">
        <v>-1.9806237797311634</v>
      </c>
      <c r="F141" t="s">
        <v>252</v>
      </c>
      <c r="J141" s="18">
        <v>46255.942372685182</v>
      </c>
      <c r="K141" t="s">
        <v>532</v>
      </c>
      <c r="L141" t="s">
        <v>155</v>
      </c>
      <c r="M141" t="s">
        <v>43</v>
      </c>
      <c r="N141">
        <v>20</v>
      </c>
      <c r="O141">
        <v>380</v>
      </c>
      <c r="P141">
        <v>1600</v>
      </c>
      <c r="Q141" t="s">
        <v>423</v>
      </c>
      <c r="R141">
        <v>40</v>
      </c>
      <c r="S141">
        <v>40</v>
      </c>
      <c r="U141">
        <v>0</v>
      </c>
      <c r="V141">
        <v>0</v>
      </c>
      <c r="W141">
        <v>0</v>
      </c>
      <c r="X141">
        <v>0</v>
      </c>
      <c r="Y141" t="s">
        <v>424</v>
      </c>
    </row>
    <row r="142" spans="1:25" x14ac:dyDescent="0.25">
      <c r="A142" s="18">
        <v>46255.942372685182</v>
      </c>
      <c r="B142">
        <v>1</v>
      </c>
      <c r="C142" t="s">
        <v>533</v>
      </c>
      <c r="D142">
        <v>-1.5023589781433733E-4</v>
      </c>
      <c r="E142">
        <v>-1.5524376107481523</v>
      </c>
      <c r="F142" t="s">
        <v>252</v>
      </c>
      <c r="J142" s="18">
        <v>46255.942372685182</v>
      </c>
      <c r="K142" t="s">
        <v>533</v>
      </c>
      <c r="L142" t="s">
        <v>155</v>
      </c>
      <c r="M142" t="s">
        <v>43</v>
      </c>
      <c r="N142">
        <v>60</v>
      </c>
      <c r="O142">
        <v>380</v>
      </c>
      <c r="P142">
        <v>1600</v>
      </c>
      <c r="Q142" t="s">
        <v>423</v>
      </c>
      <c r="R142">
        <v>40</v>
      </c>
      <c r="S142">
        <v>40</v>
      </c>
      <c r="U142">
        <v>0</v>
      </c>
      <c r="V142">
        <v>0</v>
      </c>
      <c r="W142">
        <v>0</v>
      </c>
      <c r="X142">
        <v>0</v>
      </c>
      <c r="Y142" t="s">
        <v>424</v>
      </c>
    </row>
    <row r="143" spans="1:25" x14ac:dyDescent="0.25">
      <c r="A143" s="18">
        <v>46255.942372685182</v>
      </c>
      <c r="B143">
        <v>1</v>
      </c>
      <c r="C143" t="s">
        <v>534</v>
      </c>
      <c r="D143">
        <v>-1.0879852662243302E-4</v>
      </c>
      <c r="E143">
        <v>-1.1242514417651412</v>
      </c>
      <c r="F143" t="s">
        <v>252</v>
      </c>
      <c r="J143" s="18">
        <v>46255.942372685182</v>
      </c>
      <c r="K143" t="s">
        <v>534</v>
      </c>
      <c r="L143" t="s">
        <v>155</v>
      </c>
      <c r="M143" t="s">
        <v>43</v>
      </c>
      <c r="N143">
        <v>100</v>
      </c>
      <c r="O143">
        <v>380</v>
      </c>
      <c r="P143">
        <v>1600</v>
      </c>
      <c r="Q143" t="s">
        <v>423</v>
      </c>
      <c r="R143">
        <v>40</v>
      </c>
      <c r="S143">
        <v>40</v>
      </c>
      <c r="U143">
        <v>0</v>
      </c>
      <c r="V143">
        <v>0</v>
      </c>
      <c r="W143">
        <v>0</v>
      </c>
      <c r="X143">
        <v>0</v>
      </c>
      <c r="Y143" t="s">
        <v>424</v>
      </c>
    </row>
    <row r="144" spans="1:25" x14ac:dyDescent="0.25">
      <c r="A144" s="18">
        <v>46255.942372685182</v>
      </c>
      <c r="B144">
        <v>1</v>
      </c>
      <c r="C144" t="s">
        <v>535</v>
      </c>
      <c r="D144">
        <v>-6.7361155430528712E-5</v>
      </c>
      <c r="E144">
        <v>-0.69606527278213004</v>
      </c>
      <c r="F144" t="s">
        <v>252</v>
      </c>
      <c r="J144" s="18">
        <v>46255.942372685182</v>
      </c>
      <c r="K144" t="s">
        <v>535</v>
      </c>
      <c r="L144" t="s">
        <v>155</v>
      </c>
      <c r="M144" t="s">
        <v>43</v>
      </c>
      <c r="N144">
        <v>140</v>
      </c>
      <c r="O144">
        <v>380</v>
      </c>
      <c r="P144">
        <v>1600</v>
      </c>
      <c r="Q144" t="s">
        <v>423</v>
      </c>
      <c r="R144">
        <v>40</v>
      </c>
      <c r="S144">
        <v>40</v>
      </c>
      <c r="U144">
        <v>0</v>
      </c>
      <c r="V144">
        <v>0</v>
      </c>
      <c r="W144">
        <v>0</v>
      </c>
      <c r="X144">
        <v>0</v>
      </c>
      <c r="Y144" t="s">
        <v>424</v>
      </c>
    </row>
    <row r="145" spans="1:25" x14ac:dyDescent="0.25">
      <c r="A145" s="18">
        <v>46255.942372685182</v>
      </c>
      <c r="B145">
        <v>1</v>
      </c>
      <c r="C145" t="s">
        <v>536</v>
      </c>
      <c r="D145">
        <v>-2.5923784238624394E-5</v>
      </c>
      <c r="E145">
        <v>-0.26787910379911872</v>
      </c>
      <c r="F145" t="s">
        <v>252</v>
      </c>
      <c r="J145" s="18">
        <v>46255.942372685182</v>
      </c>
      <c r="K145" t="s">
        <v>536</v>
      </c>
      <c r="L145" t="s">
        <v>155</v>
      </c>
      <c r="M145" t="s">
        <v>43</v>
      </c>
      <c r="N145">
        <v>180</v>
      </c>
      <c r="O145">
        <v>380</v>
      </c>
      <c r="P145">
        <v>1600</v>
      </c>
      <c r="Q145" t="s">
        <v>423</v>
      </c>
      <c r="R145">
        <v>40</v>
      </c>
      <c r="S145">
        <v>40</v>
      </c>
      <c r="U145">
        <v>0</v>
      </c>
      <c r="V145">
        <v>0</v>
      </c>
      <c r="W145">
        <v>0</v>
      </c>
      <c r="X145">
        <v>0</v>
      </c>
      <c r="Y145" t="s">
        <v>424</v>
      </c>
    </row>
    <row r="146" spans="1:25" x14ac:dyDescent="0.25">
      <c r="A146" s="18">
        <v>46255.942372685182</v>
      </c>
      <c r="B146">
        <v>1</v>
      </c>
      <c r="C146" t="s">
        <v>537</v>
      </c>
      <c r="D146">
        <v>1.5513586953279917E-5</v>
      </c>
      <c r="E146">
        <v>0</v>
      </c>
      <c r="F146" t="s">
        <v>579</v>
      </c>
      <c r="J146" s="18">
        <v>46255.942372685182</v>
      </c>
      <c r="K146" t="s">
        <v>537</v>
      </c>
      <c r="L146" t="s">
        <v>155</v>
      </c>
      <c r="M146" t="s">
        <v>43</v>
      </c>
      <c r="N146">
        <v>220</v>
      </c>
      <c r="O146">
        <v>380</v>
      </c>
      <c r="P146">
        <v>1600</v>
      </c>
      <c r="Q146" t="s">
        <v>423</v>
      </c>
      <c r="R146">
        <v>40</v>
      </c>
      <c r="S146">
        <v>40</v>
      </c>
      <c r="U146">
        <v>0</v>
      </c>
      <c r="V146">
        <v>0</v>
      </c>
      <c r="W146">
        <v>0</v>
      </c>
      <c r="X146">
        <v>0</v>
      </c>
      <c r="Y146" t="s">
        <v>424</v>
      </c>
    </row>
    <row r="147" spans="1:25" x14ac:dyDescent="0.25">
      <c r="A147" s="18">
        <v>46255.942372685182</v>
      </c>
      <c r="B147">
        <v>1</v>
      </c>
      <c r="C147" t="s">
        <v>538</v>
      </c>
      <c r="D147">
        <v>-1.2056141669516102E-4</v>
      </c>
      <c r="E147">
        <v>-1.245801305849997</v>
      </c>
      <c r="F147" t="s">
        <v>252</v>
      </c>
      <c r="J147" s="18">
        <v>46255.942372685182</v>
      </c>
      <c r="K147" t="s">
        <v>538</v>
      </c>
      <c r="L147" t="s">
        <v>155</v>
      </c>
      <c r="M147" t="s">
        <v>43</v>
      </c>
      <c r="N147">
        <v>20</v>
      </c>
      <c r="O147">
        <v>420</v>
      </c>
      <c r="P147">
        <v>1600</v>
      </c>
      <c r="Q147" t="s">
        <v>423</v>
      </c>
      <c r="R147">
        <v>40</v>
      </c>
      <c r="S147">
        <v>40</v>
      </c>
      <c r="U147">
        <v>0</v>
      </c>
      <c r="V147">
        <v>0</v>
      </c>
      <c r="W147">
        <v>0</v>
      </c>
      <c r="X147">
        <v>0</v>
      </c>
      <c r="Y147" t="s">
        <v>424</v>
      </c>
    </row>
    <row r="148" spans="1:25" x14ac:dyDescent="0.25">
      <c r="A148" s="18">
        <v>46255.942372685182</v>
      </c>
      <c r="B148">
        <v>1</v>
      </c>
      <c r="C148" t="s">
        <v>714</v>
      </c>
      <c r="D148">
        <v>-7.9124045503256704E-5</v>
      </c>
      <c r="E148">
        <v>-0.81761513686698595</v>
      </c>
      <c r="F148" t="s">
        <v>252</v>
      </c>
      <c r="J148" s="18">
        <v>46255.942372685182</v>
      </c>
      <c r="K148" t="s">
        <v>714</v>
      </c>
      <c r="L148" t="s">
        <v>155</v>
      </c>
      <c r="M148" t="s">
        <v>43</v>
      </c>
      <c r="N148">
        <v>60</v>
      </c>
      <c r="O148">
        <v>420</v>
      </c>
      <c r="P148">
        <v>1600</v>
      </c>
      <c r="Q148" t="s">
        <v>423</v>
      </c>
      <c r="R148">
        <v>40</v>
      </c>
      <c r="S148">
        <v>40</v>
      </c>
      <c r="U148">
        <v>0</v>
      </c>
      <c r="V148">
        <v>0</v>
      </c>
      <c r="W148">
        <v>0</v>
      </c>
      <c r="X148">
        <v>0</v>
      </c>
      <c r="Y148" t="s">
        <v>424</v>
      </c>
    </row>
    <row r="149" spans="1:25" x14ac:dyDescent="0.25">
      <c r="A149" s="18">
        <v>46255.942372685182</v>
      </c>
      <c r="B149">
        <v>1</v>
      </c>
      <c r="C149" t="s">
        <v>715</v>
      </c>
      <c r="D149">
        <v>-3.76866743113524E-5</v>
      </c>
      <c r="E149">
        <v>-0.3894289678839748</v>
      </c>
      <c r="F149" t="s">
        <v>252</v>
      </c>
      <c r="J149" s="18">
        <v>46255.942372685182</v>
      </c>
      <c r="K149" t="s">
        <v>715</v>
      </c>
      <c r="L149" t="s">
        <v>155</v>
      </c>
      <c r="M149" t="s">
        <v>43</v>
      </c>
      <c r="N149">
        <v>100</v>
      </c>
      <c r="O149">
        <v>420</v>
      </c>
      <c r="P149">
        <v>1600</v>
      </c>
      <c r="Q149" t="s">
        <v>423</v>
      </c>
      <c r="R149">
        <v>40</v>
      </c>
      <c r="S149">
        <v>40</v>
      </c>
      <c r="U149">
        <v>0</v>
      </c>
      <c r="V149">
        <v>0</v>
      </c>
      <c r="W149">
        <v>0</v>
      </c>
      <c r="X149">
        <v>0</v>
      </c>
      <c r="Y149" t="s">
        <v>424</v>
      </c>
    </row>
    <row r="150" spans="1:25" x14ac:dyDescent="0.25">
      <c r="A150" s="18">
        <v>46255.942372685182</v>
      </c>
      <c r="B150">
        <v>1</v>
      </c>
      <c r="C150" t="s">
        <v>716</v>
      </c>
      <c r="D150">
        <v>3.7506968805519132E-6</v>
      </c>
      <c r="E150">
        <v>0</v>
      </c>
      <c r="F150" t="s">
        <v>579</v>
      </c>
      <c r="J150" s="18">
        <v>46255.942372685182</v>
      </c>
      <c r="K150" t="s">
        <v>716</v>
      </c>
      <c r="L150" t="s">
        <v>155</v>
      </c>
      <c r="M150" t="s">
        <v>43</v>
      </c>
      <c r="N150">
        <v>140</v>
      </c>
      <c r="O150">
        <v>420</v>
      </c>
      <c r="P150">
        <v>1600</v>
      </c>
      <c r="Q150" t="s">
        <v>423</v>
      </c>
      <c r="R150">
        <v>40</v>
      </c>
      <c r="S150">
        <v>40</v>
      </c>
      <c r="U150">
        <v>0</v>
      </c>
      <c r="V150">
        <v>0</v>
      </c>
      <c r="W150">
        <v>0</v>
      </c>
      <c r="X150">
        <v>0</v>
      </c>
      <c r="Y150" t="s">
        <v>424</v>
      </c>
    </row>
    <row r="151" spans="1:25" x14ac:dyDescent="0.25">
      <c r="A151" s="18">
        <v>46255.942372685182</v>
      </c>
      <c r="B151">
        <v>1</v>
      </c>
      <c r="C151" t="s">
        <v>717</v>
      </c>
      <c r="D151">
        <v>4.5188068072456223E-5</v>
      </c>
      <c r="E151">
        <v>0</v>
      </c>
      <c r="F151" t="s">
        <v>579</v>
      </c>
      <c r="J151" s="18">
        <v>46255.942372685182</v>
      </c>
      <c r="K151" t="s">
        <v>717</v>
      </c>
      <c r="L151" t="s">
        <v>155</v>
      </c>
      <c r="M151" t="s">
        <v>43</v>
      </c>
      <c r="N151">
        <v>180</v>
      </c>
      <c r="O151">
        <v>420</v>
      </c>
      <c r="P151">
        <v>1600</v>
      </c>
      <c r="Q151" t="s">
        <v>423</v>
      </c>
      <c r="R151">
        <v>40</v>
      </c>
      <c r="S151">
        <v>40</v>
      </c>
      <c r="U151">
        <v>0</v>
      </c>
      <c r="V151">
        <v>0</v>
      </c>
      <c r="W151">
        <v>0</v>
      </c>
      <c r="X151">
        <v>0</v>
      </c>
      <c r="Y151" t="s">
        <v>424</v>
      </c>
    </row>
    <row r="152" spans="1:25" x14ac:dyDescent="0.25">
      <c r="A152" s="18">
        <v>46255.942372685182</v>
      </c>
      <c r="B152">
        <v>1</v>
      </c>
      <c r="C152" t="s">
        <v>718</v>
      </c>
      <c r="D152">
        <v>8.662543926436054E-5</v>
      </c>
      <c r="E152">
        <v>0</v>
      </c>
      <c r="F152" t="s">
        <v>579</v>
      </c>
      <c r="J152" s="18">
        <v>46255.942372685182</v>
      </c>
      <c r="K152" t="s">
        <v>718</v>
      </c>
      <c r="L152" t="s">
        <v>155</v>
      </c>
      <c r="M152" t="s">
        <v>43</v>
      </c>
      <c r="N152">
        <v>220</v>
      </c>
      <c r="O152">
        <v>420</v>
      </c>
      <c r="P152">
        <v>1600</v>
      </c>
      <c r="Q152" t="s">
        <v>423</v>
      </c>
      <c r="R152">
        <v>40</v>
      </c>
      <c r="S152">
        <v>40</v>
      </c>
      <c r="U152">
        <v>0</v>
      </c>
      <c r="V152">
        <v>0</v>
      </c>
      <c r="W152">
        <v>0</v>
      </c>
      <c r="X152">
        <v>0</v>
      </c>
      <c r="Y152" t="s">
        <v>424</v>
      </c>
    </row>
    <row r="153" spans="1:25" x14ac:dyDescent="0.25">
      <c r="A153" s="18">
        <v>46255.942372685182</v>
      </c>
      <c r="B153">
        <v>1</v>
      </c>
      <c r="C153" t="s">
        <v>719</v>
      </c>
      <c r="D153">
        <v>-4.9449564384080398E-5</v>
      </c>
      <c r="E153">
        <v>-0.51097883196883076</v>
      </c>
      <c r="F153" t="s">
        <v>252</v>
      </c>
      <c r="J153" s="18">
        <v>46255.942372685182</v>
      </c>
      <c r="K153" t="s">
        <v>719</v>
      </c>
      <c r="L153" t="s">
        <v>155</v>
      </c>
      <c r="M153" t="s">
        <v>43</v>
      </c>
      <c r="N153">
        <v>20</v>
      </c>
      <c r="O153">
        <v>460</v>
      </c>
      <c r="P153">
        <v>1600</v>
      </c>
      <c r="Q153" t="s">
        <v>423</v>
      </c>
      <c r="R153">
        <v>40</v>
      </c>
      <c r="S153">
        <v>40</v>
      </c>
      <c r="U153">
        <v>0</v>
      </c>
      <c r="V153">
        <v>0</v>
      </c>
      <c r="W153">
        <v>0</v>
      </c>
      <c r="X153">
        <v>0</v>
      </c>
      <c r="Y153" t="s">
        <v>424</v>
      </c>
    </row>
    <row r="154" spans="1:25" x14ac:dyDescent="0.25">
      <c r="A154" s="18">
        <v>46255.942372685182</v>
      </c>
      <c r="B154">
        <v>1</v>
      </c>
      <c r="C154" t="s">
        <v>720</v>
      </c>
      <c r="D154">
        <v>-8.0121931921760888E-6</v>
      </c>
      <c r="E154">
        <v>-8.2792662985819582E-2</v>
      </c>
      <c r="F154" t="s">
        <v>252</v>
      </c>
      <c r="J154" s="18">
        <v>46255.942372685182</v>
      </c>
      <c r="K154" t="s">
        <v>720</v>
      </c>
      <c r="L154" t="s">
        <v>155</v>
      </c>
      <c r="M154" t="s">
        <v>43</v>
      </c>
      <c r="N154">
        <v>60</v>
      </c>
      <c r="O154">
        <v>460</v>
      </c>
      <c r="P154">
        <v>1600</v>
      </c>
      <c r="Q154" t="s">
        <v>423</v>
      </c>
      <c r="R154">
        <v>40</v>
      </c>
      <c r="S154">
        <v>40</v>
      </c>
      <c r="U154">
        <v>0</v>
      </c>
      <c r="V154">
        <v>0</v>
      </c>
      <c r="W154">
        <v>0</v>
      </c>
      <c r="X154">
        <v>0</v>
      </c>
      <c r="Y154" t="s">
        <v>424</v>
      </c>
    </row>
    <row r="155" spans="1:25" x14ac:dyDescent="0.25">
      <c r="A155" s="18">
        <v>46255.942372685182</v>
      </c>
      <c r="B155">
        <v>1</v>
      </c>
      <c r="C155" t="s">
        <v>721</v>
      </c>
      <c r="D155">
        <v>3.3425177999728224E-5</v>
      </c>
      <c r="E155">
        <v>0</v>
      </c>
      <c r="F155" t="s">
        <v>579</v>
      </c>
      <c r="J155" s="18">
        <v>46255.942372685182</v>
      </c>
      <c r="K155" t="s">
        <v>721</v>
      </c>
      <c r="L155" t="s">
        <v>155</v>
      </c>
      <c r="M155" t="s">
        <v>43</v>
      </c>
      <c r="N155">
        <v>100</v>
      </c>
      <c r="O155">
        <v>460</v>
      </c>
      <c r="P155">
        <v>1600</v>
      </c>
      <c r="Q155" t="s">
        <v>423</v>
      </c>
      <c r="R155">
        <v>40</v>
      </c>
      <c r="S155">
        <v>40</v>
      </c>
      <c r="U155">
        <v>0</v>
      </c>
      <c r="V155">
        <v>0</v>
      </c>
      <c r="W155">
        <v>0</v>
      </c>
      <c r="X155">
        <v>0</v>
      </c>
      <c r="Y155" t="s">
        <v>424</v>
      </c>
    </row>
    <row r="156" spans="1:25" x14ac:dyDescent="0.25">
      <c r="A156" s="18">
        <v>46255.942372685182</v>
      </c>
      <c r="B156">
        <v>1</v>
      </c>
      <c r="C156" t="s">
        <v>722</v>
      </c>
      <c r="D156">
        <v>7.4862549191632535E-5</v>
      </c>
      <c r="E156">
        <v>0</v>
      </c>
      <c r="F156" t="s">
        <v>579</v>
      </c>
      <c r="J156" s="18">
        <v>46255.942372685182</v>
      </c>
      <c r="K156" t="s">
        <v>722</v>
      </c>
      <c r="L156" t="s">
        <v>155</v>
      </c>
      <c r="M156" t="s">
        <v>43</v>
      </c>
      <c r="N156">
        <v>140</v>
      </c>
      <c r="O156">
        <v>460</v>
      </c>
      <c r="P156">
        <v>1600</v>
      </c>
      <c r="Q156" t="s">
        <v>423</v>
      </c>
      <c r="R156">
        <v>40</v>
      </c>
      <c r="S156">
        <v>40</v>
      </c>
      <c r="U156">
        <v>0</v>
      </c>
      <c r="V156">
        <v>0</v>
      </c>
      <c r="W156">
        <v>0</v>
      </c>
      <c r="X156">
        <v>0</v>
      </c>
      <c r="Y156" t="s">
        <v>424</v>
      </c>
    </row>
    <row r="157" spans="1:25" x14ac:dyDescent="0.25">
      <c r="A157" s="18">
        <v>46255.942372685182</v>
      </c>
      <c r="B157">
        <v>1</v>
      </c>
      <c r="C157" t="s">
        <v>723</v>
      </c>
      <c r="D157">
        <v>1.1629992038353685E-4</v>
      </c>
      <c r="E157">
        <v>0</v>
      </c>
      <c r="F157" t="s">
        <v>579</v>
      </c>
      <c r="J157" s="18">
        <v>46255.942372685182</v>
      </c>
      <c r="K157" t="s">
        <v>723</v>
      </c>
      <c r="L157" t="s">
        <v>155</v>
      </c>
      <c r="M157" t="s">
        <v>43</v>
      </c>
      <c r="N157">
        <v>180</v>
      </c>
      <c r="O157">
        <v>460</v>
      </c>
      <c r="P157">
        <v>1600</v>
      </c>
      <c r="Q157" t="s">
        <v>423</v>
      </c>
      <c r="R157">
        <v>40</v>
      </c>
      <c r="S157">
        <v>40</v>
      </c>
      <c r="U157">
        <v>0</v>
      </c>
      <c r="V157">
        <v>0</v>
      </c>
      <c r="W157">
        <v>0</v>
      </c>
      <c r="X157">
        <v>0</v>
      </c>
      <c r="Y157" t="s">
        <v>424</v>
      </c>
    </row>
    <row r="158" spans="1:25" x14ac:dyDescent="0.25">
      <c r="A158" s="18">
        <v>46255.942372685182</v>
      </c>
      <c r="B158">
        <v>1</v>
      </c>
      <c r="C158" t="s">
        <v>724</v>
      </c>
      <c r="D158">
        <v>1.5773729157544114E-4</v>
      </c>
      <c r="E158">
        <v>0</v>
      </c>
      <c r="F158" t="s">
        <v>579</v>
      </c>
      <c r="J158" s="18">
        <v>46255.942372685182</v>
      </c>
      <c r="K158" t="s">
        <v>724</v>
      </c>
      <c r="L158" t="s">
        <v>155</v>
      </c>
      <c r="M158" t="s">
        <v>43</v>
      </c>
      <c r="N158">
        <v>220</v>
      </c>
      <c r="O158">
        <v>460</v>
      </c>
      <c r="P158">
        <v>1600</v>
      </c>
      <c r="Q158" t="s">
        <v>423</v>
      </c>
      <c r="R158">
        <v>40</v>
      </c>
      <c r="S158">
        <v>40</v>
      </c>
      <c r="U158">
        <v>0</v>
      </c>
      <c r="V158">
        <v>0</v>
      </c>
      <c r="W158">
        <v>0</v>
      </c>
      <c r="X158">
        <v>0</v>
      </c>
      <c r="Y158" t="s">
        <v>424</v>
      </c>
    </row>
    <row r="159" spans="1:25" x14ac:dyDescent="0.25">
      <c r="A159" s="18">
        <v>46255.942372685182</v>
      </c>
      <c r="B159">
        <v>1</v>
      </c>
      <c r="C159" t="s">
        <v>725</v>
      </c>
      <c r="D159">
        <v>2.1662287927000219E-5</v>
      </c>
      <c r="E159">
        <v>0</v>
      </c>
      <c r="F159" t="s">
        <v>579</v>
      </c>
      <c r="J159" s="18">
        <v>46255.942372685182</v>
      </c>
      <c r="K159" t="s">
        <v>725</v>
      </c>
      <c r="L159" t="s">
        <v>155</v>
      </c>
      <c r="M159" t="s">
        <v>43</v>
      </c>
      <c r="N159">
        <v>20</v>
      </c>
      <c r="O159">
        <v>500</v>
      </c>
      <c r="P159">
        <v>1600</v>
      </c>
      <c r="Q159" t="s">
        <v>423</v>
      </c>
      <c r="R159">
        <v>40</v>
      </c>
      <c r="S159">
        <v>40</v>
      </c>
      <c r="U159">
        <v>0</v>
      </c>
      <c r="V159">
        <v>0</v>
      </c>
      <c r="W159">
        <v>0</v>
      </c>
      <c r="X159">
        <v>0</v>
      </c>
      <c r="Y159" t="s">
        <v>424</v>
      </c>
    </row>
    <row r="160" spans="1:25" x14ac:dyDescent="0.25">
      <c r="A160" s="18">
        <v>46255.942372685182</v>
      </c>
      <c r="B160">
        <v>1</v>
      </c>
      <c r="C160" t="s">
        <v>726</v>
      </c>
      <c r="D160">
        <v>6.309965911890453E-5</v>
      </c>
      <c r="E160">
        <v>0</v>
      </c>
      <c r="F160" t="s">
        <v>579</v>
      </c>
      <c r="J160" s="18">
        <v>46255.942372685182</v>
      </c>
      <c r="K160" t="s">
        <v>726</v>
      </c>
      <c r="L160" t="s">
        <v>155</v>
      </c>
      <c r="M160" t="s">
        <v>43</v>
      </c>
      <c r="N160">
        <v>60</v>
      </c>
      <c r="O160">
        <v>500</v>
      </c>
      <c r="P160">
        <v>1600</v>
      </c>
      <c r="Q160" t="s">
        <v>423</v>
      </c>
      <c r="R160">
        <v>40</v>
      </c>
      <c r="S160">
        <v>40</v>
      </c>
      <c r="U160">
        <v>0</v>
      </c>
      <c r="V160">
        <v>0</v>
      </c>
      <c r="W160">
        <v>0</v>
      </c>
      <c r="X160">
        <v>0</v>
      </c>
      <c r="Y160" t="s">
        <v>424</v>
      </c>
    </row>
    <row r="161" spans="1:25" x14ac:dyDescent="0.25">
      <c r="A161" s="18">
        <v>46255.942372685182</v>
      </c>
      <c r="B161">
        <v>1</v>
      </c>
      <c r="C161" t="s">
        <v>727</v>
      </c>
      <c r="D161">
        <v>1.0453703031080884E-4</v>
      </c>
      <c r="E161">
        <v>0</v>
      </c>
      <c r="F161" t="s">
        <v>579</v>
      </c>
      <c r="J161" s="18">
        <v>46255.942372685182</v>
      </c>
      <c r="K161" t="s">
        <v>727</v>
      </c>
      <c r="L161" t="s">
        <v>155</v>
      </c>
      <c r="M161" t="s">
        <v>43</v>
      </c>
      <c r="N161">
        <v>100</v>
      </c>
      <c r="O161">
        <v>500</v>
      </c>
      <c r="P161">
        <v>1600</v>
      </c>
      <c r="Q161" t="s">
        <v>423</v>
      </c>
      <c r="R161">
        <v>40</v>
      </c>
      <c r="S161">
        <v>40</v>
      </c>
      <c r="U161">
        <v>0</v>
      </c>
      <c r="V161">
        <v>0</v>
      </c>
      <c r="W161">
        <v>0</v>
      </c>
      <c r="X161">
        <v>0</v>
      </c>
      <c r="Y161" t="s">
        <v>424</v>
      </c>
    </row>
    <row r="162" spans="1:25" x14ac:dyDescent="0.25">
      <c r="A162" s="18">
        <v>46255.942372685182</v>
      </c>
      <c r="B162">
        <v>1</v>
      </c>
      <c r="C162" t="s">
        <v>728</v>
      </c>
      <c r="D162">
        <v>1.4597440150271315E-4</v>
      </c>
      <c r="E162">
        <v>0</v>
      </c>
      <c r="F162" t="s">
        <v>579</v>
      </c>
      <c r="J162" s="18">
        <v>46255.942372685182</v>
      </c>
      <c r="K162" t="s">
        <v>728</v>
      </c>
      <c r="L162" t="s">
        <v>155</v>
      </c>
      <c r="M162" t="s">
        <v>43</v>
      </c>
      <c r="N162">
        <v>140</v>
      </c>
      <c r="O162">
        <v>500</v>
      </c>
      <c r="P162">
        <v>1600</v>
      </c>
      <c r="Q162" t="s">
        <v>423</v>
      </c>
      <c r="R162">
        <v>40</v>
      </c>
      <c r="S162">
        <v>40</v>
      </c>
      <c r="U162">
        <v>0</v>
      </c>
      <c r="V162">
        <v>0</v>
      </c>
      <c r="W162">
        <v>0</v>
      </c>
      <c r="X162">
        <v>0</v>
      </c>
      <c r="Y162" t="s">
        <v>424</v>
      </c>
    </row>
    <row r="163" spans="1:25" x14ac:dyDescent="0.25">
      <c r="A163" s="18">
        <v>46255.942372685182</v>
      </c>
      <c r="B163">
        <v>1</v>
      </c>
      <c r="C163" t="s">
        <v>729</v>
      </c>
      <c r="D163">
        <v>1.8741177269461748E-4</v>
      </c>
      <c r="E163">
        <v>0</v>
      </c>
      <c r="F163" t="s">
        <v>579</v>
      </c>
      <c r="J163" s="18">
        <v>46255.942372685182</v>
      </c>
      <c r="K163" t="s">
        <v>729</v>
      </c>
      <c r="L163" t="s">
        <v>155</v>
      </c>
      <c r="M163" t="s">
        <v>43</v>
      </c>
      <c r="N163">
        <v>180</v>
      </c>
      <c r="O163">
        <v>500</v>
      </c>
      <c r="P163">
        <v>1600</v>
      </c>
      <c r="Q163" t="s">
        <v>423</v>
      </c>
      <c r="R163">
        <v>40</v>
      </c>
      <c r="S163">
        <v>40</v>
      </c>
      <c r="U163">
        <v>0</v>
      </c>
      <c r="V163">
        <v>0</v>
      </c>
      <c r="W163">
        <v>0</v>
      </c>
      <c r="X163">
        <v>0</v>
      </c>
      <c r="Y163" t="s">
        <v>424</v>
      </c>
    </row>
    <row r="164" spans="1:25" x14ac:dyDescent="0.25">
      <c r="A164" s="18">
        <v>46255.942372685182</v>
      </c>
      <c r="B164">
        <v>1</v>
      </c>
      <c r="C164" t="s">
        <v>730</v>
      </c>
      <c r="D164">
        <v>2.2884914388652177E-4</v>
      </c>
      <c r="E164">
        <v>0</v>
      </c>
      <c r="F164" t="s">
        <v>579</v>
      </c>
      <c r="J164" s="18">
        <v>46255.942372685182</v>
      </c>
      <c r="K164" t="s">
        <v>730</v>
      </c>
      <c r="L164" t="s">
        <v>155</v>
      </c>
      <c r="M164" t="s">
        <v>43</v>
      </c>
      <c r="N164">
        <v>220</v>
      </c>
      <c r="O164">
        <v>500</v>
      </c>
      <c r="P164">
        <v>1600</v>
      </c>
      <c r="Q164" t="s">
        <v>423</v>
      </c>
      <c r="R164">
        <v>40</v>
      </c>
      <c r="S164">
        <v>40</v>
      </c>
      <c r="U164">
        <v>0</v>
      </c>
      <c r="V164">
        <v>0</v>
      </c>
      <c r="W164">
        <v>0</v>
      </c>
      <c r="X164">
        <v>0</v>
      </c>
      <c r="Y164" t="s">
        <v>424</v>
      </c>
    </row>
    <row r="165" spans="1:25" x14ac:dyDescent="0.25">
      <c r="A165" s="18">
        <v>46255.942372685182</v>
      </c>
      <c r="B165">
        <v>1</v>
      </c>
      <c r="C165" t="s">
        <v>731</v>
      </c>
      <c r="D165">
        <v>9.2774140238080835E-5</v>
      </c>
      <c r="E165">
        <v>0</v>
      </c>
      <c r="F165" t="s">
        <v>579</v>
      </c>
      <c r="J165" s="18">
        <v>46255.942372685182</v>
      </c>
      <c r="K165" t="s">
        <v>731</v>
      </c>
      <c r="L165" t="s">
        <v>155</v>
      </c>
      <c r="M165" t="s">
        <v>43</v>
      </c>
      <c r="N165">
        <v>20</v>
      </c>
      <c r="O165">
        <v>540</v>
      </c>
      <c r="P165">
        <v>1600</v>
      </c>
      <c r="Q165" t="s">
        <v>423</v>
      </c>
      <c r="R165">
        <v>40</v>
      </c>
      <c r="S165">
        <v>40</v>
      </c>
      <c r="U165">
        <v>0</v>
      </c>
      <c r="V165">
        <v>0</v>
      </c>
      <c r="W165">
        <v>0</v>
      </c>
      <c r="X165">
        <v>0</v>
      </c>
      <c r="Y165" t="s">
        <v>424</v>
      </c>
    </row>
    <row r="166" spans="1:25" x14ac:dyDescent="0.25">
      <c r="A166" s="18">
        <v>46255.942372685182</v>
      </c>
      <c r="B166">
        <v>1</v>
      </c>
      <c r="C166" t="s">
        <v>732</v>
      </c>
      <c r="D166">
        <v>1.3421151142998516E-4</v>
      </c>
      <c r="E166">
        <v>0</v>
      </c>
      <c r="F166" t="s">
        <v>579</v>
      </c>
      <c r="J166" s="18">
        <v>46255.942372685182</v>
      </c>
      <c r="K166" t="s">
        <v>732</v>
      </c>
      <c r="L166" t="s">
        <v>155</v>
      </c>
      <c r="M166" t="s">
        <v>43</v>
      </c>
      <c r="N166">
        <v>60</v>
      </c>
      <c r="O166">
        <v>540</v>
      </c>
      <c r="P166">
        <v>1600</v>
      </c>
      <c r="Q166" t="s">
        <v>423</v>
      </c>
      <c r="R166">
        <v>40</v>
      </c>
      <c r="S166">
        <v>40</v>
      </c>
      <c r="U166">
        <v>0</v>
      </c>
      <c r="V166">
        <v>0</v>
      </c>
      <c r="W166">
        <v>0</v>
      </c>
      <c r="X166">
        <v>0</v>
      </c>
      <c r="Y166" t="s">
        <v>424</v>
      </c>
    </row>
    <row r="167" spans="1:25" x14ac:dyDescent="0.25">
      <c r="A167" s="18">
        <v>46255.942372685182</v>
      </c>
      <c r="B167">
        <v>1</v>
      </c>
      <c r="C167" t="s">
        <v>733</v>
      </c>
      <c r="D167">
        <v>1.7564888262188946E-4</v>
      </c>
      <c r="E167">
        <v>0</v>
      </c>
      <c r="F167" t="s">
        <v>579</v>
      </c>
      <c r="J167" s="18">
        <v>46255.942372685182</v>
      </c>
      <c r="K167" t="s">
        <v>733</v>
      </c>
      <c r="L167" t="s">
        <v>155</v>
      </c>
      <c r="M167" t="s">
        <v>43</v>
      </c>
      <c r="N167">
        <v>100</v>
      </c>
      <c r="O167">
        <v>540</v>
      </c>
      <c r="P167">
        <v>1600</v>
      </c>
      <c r="Q167" t="s">
        <v>423</v>
      </c>
      <c r="R167">
        <v>40</v>
      </c>
      <c r="S167">
        <v>40</v>
      </c>
      <c r="U167">
        <v>0</v>
      </c>
      <c r="V167">
        <v>0</v>
      </c>
      <c r="W167">
        <v>0</v>
      </c>
      <c r="X167">
        <v>0</v>
      </c>
      <c r="Y167" t="s">
        <v>424</v>
      </c>
    </row>
    <row r="168" spans="1:25" x14ac:dyDescent="0.25">
      <c r="A168" s="18">
        <v>46255.942372685182</v>
      </c>
      <c r="B168">
        <v>1</v>
      </c>
      <c r="C168" t="s">
        <v>734</v>
      </c>
      <c r="D168">
        <v>2.1708625381379378E-4</v>
      </c>
      <c r="E168">
        <v>0</v>
      </c>
      <c r="F168" t="s">
        <v>579</v>
      </c>
      <c r="J168" s="18">
        <v>46255.942372685182</v>
      </c>
      <c r="K168" t="s">
        <v>734</v>
      </c>
      <c r="L168" t="s">
        <v>155</v>
      </c>
      <c r="M168" t="s">
        <v>43</v>
      </c>
      <c r="N168">
        <v>140</v>
      </c>
      <c r="O168">
        <v>540</v>
      </c>
      <c r="P168">
        <v>1600</v>
      </c>
      <c r="Q168" t="s">
        <v>423</v>
      </c>
      <c r="R168">
        <v>40</v>
      </c>
      <c r="S168">
        <v>40</v>
      </c>
      <c r="U168">
        <v>0</v>
      </c>
      <c r="V168">
        <v>0</v>
      </c>
      <c r="W168">
        <v>0</v>
      </c>
      <c r="X168">
        <v>0</v>
      </c>
      <c r="Y168" t="s">
        <v>424</v>
      </c>
    </row>
    <row r="169" spans="1:25" x14ac:dyDescent="0.25">
      <c r="A169" s="18">
        <v>46255.942372685182</v>
      </c>
      <c r="B169">
        <v>1</v>
      </c>
      <c r="C169" t="s">
        <v>735</v>
      </c>
      <c r="D169">
        <v>2.5852362500569811E-4</v>
      </c>
      <c r="E169">
        <v>0</v>
      </c>
      <c r="F169" t="s">
        <v>579</v>
      </c>
      <c r="J169" s="18">
        <v>46255.942372685182</v>
      </c>
      <c r="K169" t="s">
        <v>735</v>
      </c>
      <c r="L169" t="s">
        <v>155</v>
      </c>
      <c r="M169" t="s">
        <v>43</v>
      </c>
      <c r="N169">
        <v>180</v>
      </c>
      <c r="O169">
        <v>540</v>
      </c>
      <c r="P169">
        <v>1600</v>
      </c>
      <c r="Q169" t="s">
        <v>423</v>
      </c>
      <c r="R169">
        <v>40</v>
      </c>
      <c r="S169">
        <v>40</v>
      </c>
      <c r="U169">
        <v>0</v>
      </c>
      <c r="V169">
        <v>0</v>
      </c>
      <c r="W169">
        <v>0</v>
      </c>
      <c r="X169">
        <v>0</v>
      </c>
      <c r="Y169" t="s">
        <v>424</v>
      </c>
    </row>
    <row r="170" spans="1:25" x14ac:dyDescent="0.25">
      <c r="A170" s="18">
        <v>46255.942372685182</v>
      </c>
      <c r="B170">
        <v>1</v>
      </c>
      <c r="C170" t="s">
        <v>736</v>
      </c>
      <c r="D170">
        <v>2.9996099619760238E-4</v>
      </c>
      <c r="E170">
        <v>0</v>
      </c>
      <c r="F170" t="s">
        <v>579</v>
      </c>
      <c r="J170" s="18">
        <v>46255.942372685182</v>
      </c>
      <c r="K170" t="s">
        <v>736</v>
      </c>
      <c r="L170" t="s">
        <v>155</v>
      </c>
      <c r="M170" t="s">
        <v>43</v>
      </c>
      <c r="N170">
        <v>220</v>
      </c>
      <c r="O170">
        <v>540</v>
      </c>
      <c r="P170">
        <v>1600</v>
      </c>
      <c r="Q170" t="s">
        <v>423</v>
      </c>
      <c r="R170">
        <v>40</v>
      </c>
      <c r="S170">
        <v>40</v>
      </c>
      <c r="U170">
        <v>0</v>
      </c>
      <c r="V170">
        <v>0</v>
      </c>
      <c r="W170">
        <v>0</v>
      </c>
      <c r="X170">
        <v>0</v>
      </c>
      <c r="Y170" t="s">
        <v>424</v>
      </c>
    </row>
    <row r="171" spans="1:25" x14ac:dyDescent="0.25">
      <c r="A171" s="18">
        <v>46255.942372685182</v>
      </c>
      <c r="B171">
        <v>1</v>
      </c>
      <c r="C171" t="s">
        <v>737</v>
      </c>
      <c r="D171">
        <v>1.6388599254916147E-4</v>
      </c>
      <c r="E171">
        <v>0</v>
      </c>
      <c r="F171" t="s">
        <v>579</v>
      </c>
      <c r="J171" s="18">
        <v>46255.942372685182</v>
      </c>
      <c r="K171" t="s">
        <v>737</v>
      </c>
      <c r="L171" t="s">
        <v>155</v>
      </c>
      <c r="M171" t="s">
        <v>43</v>
      </c>
      <c r="N171">
        <v>20</v>
      </c>
      <c r="O171">
        <v>580</v>
      </c>
      <c r="P171">
        <v>1600</v>
      </c>
      <c r="Q171" t="s">
        <v>423</v>
      </c>
      <c r="R171">
        <v>40</v>
      </c>
      <c r="S171">
        <v>40</v>
      </c>
      <c r="U171">
        <v>0</v>
      </c>
      <c r="V171">
        <v>0</v>
      </c>
      <c r="W171">
        <v>0</v>
      </c>
      <c r="X171">
        <v>0</v>
      </c>
      <c r="Y171" t="s">
        <v>424</v>
      </c>
    </row>
    <row r="172" spans="1:25" x14ac:dyDescent="0.25">
      <c r="A172" s="18">
        <v>46255.942372685182</v>
      </c>
      <c r="B172">
        <v>1</v>
      </c>
      <c r="C172" t="s">
        <v>738</v>
      </c>
      <c r="D172">
        <v>2.0532336374106576E-4</v>
      </c>
      <c r="E172">
        <v>0</v>
      </c>
      <c r="F172" t="s">
        <v>579</v>
      </c>
      <c r="J172" s="18">
        <v>46255.942372685182</v>
      </c>
      <c r="K172" t="s">
        <v>738</v>
      </c>
      <c r="L172" t="s">
        <v>155</v>
      </c>
      <c r="M172" t="s">
        <v>43</v>
      </c>
      <c r="N172">
        <v>60</v>
      </c>
      <c r="O172">
        <v>580</v>
      </c>
      <c r="P172">
        <v>1600</v>
      </c>
      <c r="Q172" t="s">
        <v>423</v>
      </c>
      <c r="R172">
        <v>40</v>
      </c>
      <c r="S172">
        <v>40</v>
      </c>
      <c r="U172">
        <v>0</v>
      </c>
      <c r="V172">
        <v>0</v>
      </c>
      <c r="W172">
        <v>0</v>
      </c>
      <c r="X172">
        <v>0</v>
      </c>
      <c r="Y172" t="s">
        <v>424</v>
      </c>
    </row>
    <row r="173" spans="1:25" x14ac:dyDescent="0.25">
      <c r="A173" s="18">
        <v>46255.942372685182</v>
      </c>
      <c r="B173">
        <v>1</v>
      </c>
      <c r="C173" t="s">
        <v>739</v>
      </c>
      <c r="D173">
        <v>2.4676073493297006E-4</v>
      </c>
      <c r="E173">
        <v>0</v>
      </c>
      <c r="F173" t="s">
        <v>579</v>
      </c>
      <c r="J173" s="18">
        <v>46255.942372685182</v>
      </c>
      <c r="K173" t="s">
        <v>739</v>
      </c>
      <c r="L173" t="s">
        <v>155</v>
      </c>
      <c r="M173" t="s">
        <v>43</v>
      </c>
      <c r="N173">
        <v>100</v>
      </c>
      <c r="O173">
        <v>580</v>
      </c>
      <c r="P173">
        <v>1600</v>
      </c>
      <c r="Q173" t="s">
        <v>423</v>
      </c>
      <c r="R173">
        <v>40</v>
      </c>
      <c r="S173">
        <v>40</v>
      </c>
      <c r="U173">
        <v>0</v>
      </c>
      <c r="V173">
        <v>0</v>
      </c>
      <c r="W173">
        <v>0</v>
      </c>
      <c r="X173">
        <v>0</v>
      </c>
      <c r="Y173" t="s">
        <v>424</v>
      </c>
    </row>
    <row r="174" spans="1:25" x14ac:dyDescent="0.25">
      <c r="A174" s="18">
        <v>46255.942372685182</v>
      </c>
      <c r="B174">
        <v>1</v>
      </c>
      <c r="C174" t="s">
        <v>740</v>
      </c>
      <c r="D174">
        <v>2.8819810612487439E-4</v>
      </c>
      <c r="E174">
        <v>0</v>
      </c>
      <c r="F174" t="s">
        <v>579</v>
      </c>
      <c r="J174" s="18">
        <v>46255.942372685182</v>
      </c>
      <c r="K174" t="s">
        <v>740</v>
      </c>
      <c r="L174" t="s">
        <v>155</v>
      </c>
      <c r="M174" t="s">
        <v>43</v>
      </c>
      <c r="N174">
        <v>140</v>
      </c>
      <c r="O174">
        <v>580</v>
      </c>
      <c r="P174">
        <v>1600</v>
      </c>
      <c r="Q174" t="s">
        <v>423</v>
      </c>
      <c r="R174">
        <v>40</v>
      </c>
      <c r="S174">
        <v>40</v>
      </c>
      <c r="U174">
        <v>0</v>
      </c>
      <c r="V174">
        <v>0</v>
      </c>
      <c r="W174">
        <v>0</v>
      </c>
      <c r="X174">
        <v>0</v>
      </c>
      <c r="Y174" t="s">
        <v>424</v>
      </c>
    </row>
    <row r="175" spans="1:25" x14ac:dyDescent="0.25">
      <c r="A175" s="18">
        <v>46255.942372685182</v>
      </c>
      <c r="B175">
        <v>1</v>
      </c>
      <c r="C175" t="s">
        <v>741</v>
      </c>
      <c r="D175">
        <v>3.2963547731677871E-4</v>
      </c>
      <c r="E175">
        <v>0</v>
      </c>
      <c r="F175" t="s">
        <v>579</v>
      </c>
      <c r="J175" s="18">
        <v>46255.942372685182</v>
      </c>
      <c r="K175" t="s">
        <v>741</v>
      </c>
      <c r="L175" t="s">
        <v>155</v>
      </c>
      <c r="M175" t="s">
        <v>43</v>
      </c>
      <c r="N175">
        <v>180</v>
      </c>
      <c r="O175">
        <v>580</v>
      </c>
      <c r="P175">
        <v>1600</v>
      </c>
      <c r="Q175" t="s">
        <v>423</v>
      </c>
      <c r="R175">
        <v>40</v>
      </c>
      <c r="S175">
        <v>40</v>
      </c>
      <c r="U175">
        <v>0</v>
      </c>
      <c r="V175">
        <v>0</v>
      </c>
      <c r="W175">
        <v>0</v>
      </c>
      <c r="X175">
        <v>0</v>
      </c>
      <c r="Y175" t="s">
        <v>424</v>
      </c>
    </row>
    <row r="176" spans="1:25" x14ac:dyDescent="0.25">
      <c r="A176" s="18">
        <v>46255.942372685182</v>
      </c>
      <c r="B176">
        <v>1</v>
      </c>
      <c r="C176" t="s">
        <v>742</v>
      </c>
      <c r="D176">
        <v>3.7107284850868303E-4</v>
      </c>
      <c r="E176">
        <v>0</v>
      </c>
      <c r="F176" t="s">
        <v>579</v>
      </c>
      <c r="J176" s="18">
        <v>46255.942372685182</v>
      </c>
      <c r="K176" t="s">
        <v>742</v>
      </c>
      <c r="L176" t="s">
        <v>155</v>
      </c>
      <c r="M176" t="s">
        <v>43</v>
      </c>
      <c r="N176">
        <v>220</v>
      </c>
      <c r="O176">
        <v>580</v>
      </c>
      <c r="P176">
        <v>1600</v>
      </c>
      <c r="Q176" t="s">
        <v>423</v>
      </c>
      <c r="R176">
        <v>40</v>
      </c>
      <c r="S176">
        <v>40</v>
      </c>
      <c r="U176">
        <v>0</v>
      </c>
      <c r="V176">
        <v>0</v>
      </c>
      <c r="W176">
        <v>0</v>
      </c>
      <c r="X176">
        <v>0</v>
      </c>
      <c r="Y176" t="s">
        <v>424</v>
      </c>
    </row>
    <row r="177" spans="1:25" x14ac:dyDescent="0.25">
      <c r="A177" s="18">
        <v>46255.942372685182</v>
      </c>
      <c r="B177">
        <v>1</v>
      </c>
      <c r="C177" t="s">
        <v>743</v>
      </c>
      <c r="D177">
        <v>2.3499784486024207E-4</v>
      </c>
      <c r="E177">
        <v>0</v>
      </c>
      <c r="F177" t="s">
        <v>579</v>
      </c>
      <c r="J177" s="18">
        <v>46255.942372685182</v>
      </c>
      <c r="K177" t="s">
        <v>743</v>
      </c>
      <c r="L177" t="s">
        <v>155</v>
      </c>
      <c r="M177" t="s">
        <v>43</v>
      </c>
      <c r="N177">
        <v>20</v>
      </c>
      <c r="O177">
        <v>620</v>
      </c>
      <c r="P177">
        <v>1600</v>
      </c>
      <c r="Q177" t="s">
        <v>423</v>
      </c>
      <c r="R177">
        <v>40</v>
      </c>
      <c r="S177">
        <v>40</v>
      </c>
      <c r="U177">
        <v>0</v>
      </c>
      <c r="V177">
        <v>0</v>
      </c>
      <c r="W177">
        <v>0</v>
      </c>
      <c r="X177">
        <v>0</v>
      </c>
      <c r="Y177" t="s">
        <v>424</v>
      </c>
    </row>
    <row r="178" spans="1:25" x14ac:dyDescent="0.25">
      <c r="A178" s="18">
        <v>46255.942372685182</v>
      </c>
      <c r="B178">
        <v>1</v>
      </c>
      <c r="C178" t="s">
        <v>744</v>
      </c>
      <c r="D178">
        <v>2.7643521605214639E-4</v>
      </c>
      <c r="E178">
        <v>0</v>
      </c>
      <c r="F178" t="s">
        <v>579</v>
      </c>
      <c r="J178" s="18">
        <v>46255.942372685182</v>
      </c>
      <c r="K178" t="s">
        <v>744</v>
      </c>
      <c r="L178" t="s">
        <v>155</v>
      </c>
      <c r="M178" t="s">
        <v>43</v>
      </c>
      <c r="N178">
        <v>60</v>
      </c>
      <c r="O178">
        <v>620</v>
      </c>
      <c r="P178">
        <v>1600</v>
      </c>
      <c r="Q178" t="s">
        <v>423</v>
      </c>
      <c r="R178">
        <v>40</v>
      </c>
      <c r="S178">
        <v>40</v>
      </c>
      <c r="U178">
        <v>0</v>
      </c>
      <c r="V178">
        <v>0</v>
      </c>
      <c r="W178">
        <v>0</v>
      </c>
      <c r="X178">
        <v>0</v>
      </c>
      <c r="Y178" t="s">
        <v>424</v>
      </c>
    </row>
    <row r="179" spans="1:25" x14ac:dyDescent="0.25">
      <c r="A179" s="18">
        <v>46255.942372685182</v>
      </c>
      <c r="B179">
        <v>1</v>
      </c>
      <c r="C179" t="s">
        <v>745</v>
      </c>
      <c r="D179">
        <v>3.1787258724405072E-4</v>
      </c>
      <c r="E179">
        <v>0</v>
      </c>
      <c r="F179" t="s">
        <v>579</v>
      </c>
      <c r="J179" s="18">
        <v>46255.942372685182</v>
      </c>
      <c r="K179" t="s">
        <v>745</v>
      </c>
      <c r="L179" t="s">
        <v>155</v>
      </c>
      <c r="M179" t="s">
        <v>43</v>
      </c>
      <c r="N179">
        <v>100</v>
      </c>
      <c r="O179">
        <v>620</v>
      </c>
      <c r="P179">
        <v>1600</v>
      </c>
      <c r="Q179" t="s">
        <v>423</v>
      </c>
      <c r="R179">
        <v>40</v>
      </c>
      <c r="S179">
        <v>40</v>
      </c>
      <c r="U179">
        <v>0</v>
      </c>
      <c r="V179">
        <v>0</v>
      </c>
      <c r="W179">
        <v>0</v>
      </c>
      <c r="X179">
        <v>0</v>
      </c>
      <c r="Y179" t="s">
        <v>424</v>
      </c>
    </row>
    <row r="180" spans="1:25" x14ac:dyDescent="0.25">
      <c r="A180" s="18">
        <v>46255.942372685182</v>
      </c>
      <c r="B180">
        <v>1</v>
      </c>
      <c r="C180" t="s">
        <v>746</v>
      </c>
      <c r="D180">
        <v>3.5930995843595499E-4</v>
      </c>
      <c r="E180">
        <v>0</v>
      </c>
      <c r="F180" t="s">
        <v>579</v>
      </c>
      <c r="J180" s="18">
        <v>46255.942372685182</v>
      </c>
      <c r="K180" t="s">
        <v>746</v>
      </c>
      <c r="L180" t="s">
        <v>155</v>
      </c>
      <c r="M180" t="s">
        <v>43</v>
      </c>
      <c r="N180">
        <v>140</v>
      </c>
      <c r="O180">
        <v>620</v>
      </c>
      <c r="P180">
        <v>1600</v>
      </c>
      <c r="Q180" t="s">
        <v>423</v>
      </c>
      <c r="R180">
        <v>40</v>
      </c>
      <c r="S180">
        <v>40</v>
      </c>
      <c r="U180">
        <v>0</v>
      </c>
      <c r="V180">
        <v>0</v>
      </c>
      <c r="W180">
        <v>0</v>
      </c>
      <c r="X180">
        <v>0</v>
      </c>
      <c r="Y180" t="s">
        <v>424</v>
      </c>
    </row>
    <row r="181" spans="1:25" x14ac:dyDescent="0.25">
      <c r="A181" s="18">
        <v>46255.942372685182</v>
      </c>
      <c r="B181">
        <v>1</v>
      </c>
      <c r="C181" t="s">
        <v>747</v>
      </c>
      <c r="D181">
        <v>4.0074732962785931E-4</v>
      </c>
      <c r="E181">
        <v>0</v>
      </c>
      <c r="F181" t="s">
        <v>579</v>
      </c>
      <c r="J181" s="18">
        <v>46255.942372685182</v>
      </c>
      <c r="K181" t="s">
        <v>747</v>
      </c>
      <c r="L181" t="s">
        <v>155</v>
      </c>
      <c r="M181" t="s">
        <v>43</v>
      </c>
      <c r="N181">
        <v>180</v>
      </c>
      <c r="O181">
        <v>620</v>
      </c>
      <c r="P181">
        <v>1600</v>
      </c>
      <c r="Q181" t="s">
        <v>423</v>
      </c>
      <c r="R181">
        <v>40</v>
      </c>
      <c r="S181">
        <v>40</v>
      </c>
      <c r="U181">
        <v>0</v>
      </c>
      <c r="V181">
        <v>0</v>
      </c>
      <c r="W181">
        <v>0</v>
      </c>
      <c r="X181">
        <v>0</v>
      </c>
      <c r="Y181" t="s">
        <v>424</v>
      </c>
    </row>
    <row r="182" spans="1:25" x14ac:dyDescent="0.25">
      <c r="A182" s="18">
        <v>46255.942372685182</v>
      </c>
      <c r="B182">
        <v>1</v>
      </c>
      <c r="C182" t="s">
        <v>748</v>
      </c>
      <c r="D182">
        <v>4.4218470081976364E-4</v>
      </c>
      <c r="E182">
        <v>0</v>
      </c>
      <c r="F182" t="s">
        <v>579</v>
      </c>
      <c r="J182" s="18">
        <v>46255.942372685182</v>
      </c>
      <c r="K182" t="s">
        <v>748</v>
      </c>
      <c r="L182" t="s">
        <v>155</v>
      </c>
      <c r="M182" t="s">
        <v>43</v>
      </c>
      <c r="N182">
        <v>220</v>
      </c>
      <c r="O182">
        <v>620</v>
      </c>
      <c r="P182">
        <v>1600</v>
      </c>
      <c r="Q182" t="s">
        <v>423</v>
      </c>
      <c r="R182">
        <v>40</v>
      </c>
      <c r="S182">
        <v>40</v>
      </c>
      <c r="U182">
        <v>0</v>
      </c>
      <c r="V182">
        <v>0</v>
      </c>
      <c r="W182">
        <v>0</v>
      </c>
      <c r="X182">
        <v>0</v>
      </c>
      <c r="Y182" t="s">
        <v>424</v>
      </c>
    </row>
    <row r="183" spans="1:25" x14ac:dyDescent="0.25">
      <c r="A183" s="18">
        <v>46255.942372685182</v>
      </c>
      <c r="B183">
        <v>1</v>
      </c>
      <c r="C183" t="s">
        <v>749</v>
      </c>
      <c r="D183">
        <v>3.0610969717132273E-4</v>
      </c>
      <c r="E183">
        <v>0</v>
      </c>
      <c r="F183" t="s">
        <v>579</v>
      </c>
      <c r="J183" s="18">
        <v>46255.942372685182</v>
      </c>
      <c r="K183" t="s">
        <v>749</v>
      </c>
      <c r="L183" t="s">
        <v>155</v>
      </c>
      <c r="M183" t="s">
        <v>43</v>
      </c>
      <c r="N183">
        <v>20</v>
      </c>
      <c r="O183">
        <v>660</v>
      </c>
      <c r="P183">
        <v>1600</v>
      </c>
      <c r="Q183" t="s">
        <v>423</v>
      </c>
      <c r="R183">
        <v>40</v>
      </c>
      <c r="S183">
        <v>40</v>
      </c>
      <c r="U183">
        <v>0</v>
      </c>
      <c r="V183">
        <v>0</v>
      </c>
      <c r="W183">
        <v>0</v>
      </c>
      <c r="X183">
        <v>0</v>
      </c>
      <c r="Y183" t="s">
        <v>424</v>
      </c>
    </row>
    <row r="184" spans="1:25" x14ac:dyDescent="0.25">
      <c r="A184" s="18">
        <v>46255.942372685182</v>
      </c>
      <c r="B184">
        <v>1</v>
      </c>
      <c r="C184" t="s">
        <v>750</v>
      </c>
      <c r="D184">
        <v>3.47547068363227E-4</v>
      </c>
      <c r="E184">
        <v>0</v>
      </c>
      <c r="F184" t="s">
        <v>579</v>
      </c>
      <c r="J184" s="18">
        <v>46255.942372685182</v>
      </c>
      <c r="K184" t="s">
        <v>750</v>
      </c>
      <c r="L184" t="s">
        <v>155</v>
      </c>
      <c r="M184" t="s">
        <v>43</v>
      </c>
      <c r="N184">
        <v>60</v>
      </c>
      <c r="O184">
        <v>660</v>
      </c>
      <c r="P184">
        <v>1600</v>
      </c>
      <c r="Q184" t="s">
        <v>423</v>
      </c>
      <c r="R184">
        <v>40</v>
      </c>
      <c r="S184">
        <v>40</v>
      </c>
      <c r="U184">
        <v>0</v>
      </c>
      <c r="V184">
        <v>0</v>
      </c>
      <c r="W184">
        <v>0</v>
      </c>
      <c r="X184">
        <v>0</v>
      </c>
      <c r="Y184" t="s">
        <v>424</v>
      </c>
    </row>
    <row r="185" spans="1:25" x14ac:dyDescent="0.25">
      <c r="A185" s="18">
        <v>46255.942372685182</v>
      </c>
      <c r="B185">
        <v>1</v>
      </c>
      <c r="C185" t="s">
        <v>751</v>
      </c>
      <c r="D185">
        <v>3.8898443955513132E-4</v>
      </c>
      <c r="E185">
        <v>0</v>
      </c>
      <c r="F185" t="s">
        <v>579</v>
      </c>
      <c r="J185" s="18">
        <v>46255.942372685182</v>
      </c>
      <c r="K185" t="s">
        <v>751</v>
      </c>
      <c r="L185" t="s">
        <v>155</v>
      </c>
      <c r="M185" t="s">
        <v>43</v>
      </c>
      <c r="N185">
        <v>100</v>
      </c>
      <c r="O185">
        <v>660</v>
      </c>
      <c r="P185">
        <v>1600</v>
      </c>
      <c r="Q185" t="s">
        <v>423</v>
      </c>
      <c r="R185">
        <v>40</v>
      </c>
      <c r="S185">
        <v>40</v>
      </c>
      <c r="U185">
        <v>0</v>
      </c>
      <c r="V185">
        <v>0</v>
      </c>
      <c r="W185">
        <v>0</v>
      </c>
      <c r="X185">
        <v>0</v>
      </c>
      <c r="Y185" t="s">
        <v>424</v>
      </c>
    </row>
    <row r="186" spans="1:25" x14ac:dyDescent="0.25">
      <c r="A186" s="18">
        <v>46255.942372685182</v>
      </c>
      <c r="B186">
        <v>1</v>
      </c>
      <c r="C186" t="s">
        <v>752</v>
      </c>
      <c r="D186">
        <v>4.3042181074703565E-4</v>
      </c>
      <c r="E186">
        <v>0</v>
      </c>
      <c r="F186" t="s">
        <v>579</v>
      </c>
      <c r="J186" s="18">
        <v>46255.942372685182</v>
      </c>
      <c r="K186" t="s">
        <v>752</v>
      </c>
      <c r="L186" t="s">
        <v>155</v>
      </c>
      <c r="M186" t="s">
        <v>43</v>
      </c>
      <c r="N186">
        <v>140</v>
      </c>
      <c r="O186">
        <v>660</v>
      </c>
      <c r="P186">
        <v>1600</v>
      </c>
      <c r="Q186" t="s">
        <v>423</v>
      </c>
      <c r="R186">
        <v>40</v>
      </c>
      <c r="S186">
        <v>40</v>
      </c>
      <c r="U186">
        <v>0</v>
      </c>
      <c r="V186">
        <v>0</v>
      </c>
      <c r="W186">
        <v>0</v>
      </c>
      <c r="X186">
        <v>0</v>
      </c>
      <c r="Y186" t="s">
        <v>424</v>
      </c>
    </row>
    <row r="187" spans="1:25" x14ac:dyDescent="0.25">
      <c r="A187" s="18">
        <v>46255.942372685182</v>
      </c>
      <c r="B187">
        <v>1</v>
      </c>
      <c r="C187" t="s">
        <v>753</v>
      </c>
      <c r="D187">
        <v>4.7185918193893997E-4</v>
      </c>
      <c r="E187">
        <v>0</v>
      </c>
      <c r="F187" t="s">
        <v>579</v>
      </c>
      <c r="J187" s="18">
        <v>46255.942372685182</v>
      </c>
      <c r="K187" t="s">
        <v>753</v>
      </c>
      <c r="L187" t="s">
        <v>155</v>
      </c>
      <c r="M187" t="s">
        <v>43</v>
      </c>
      <c r="N187">
        <v>180</v>
      </c>
      <c r="O187">
        <v>660</v>
      </c>
      <c r="P187">
        <v>1600</v>
      </c>
      <c r="Q187" t="s">
        <v>423</v>
      </c>
      <c r="R187">
        <v>40</v>
      </c>
      <c r="S187">
        <v>40</v>
      </c>
      <c r="U187">
        <v>0</v>
      </c>
      <c r="V187">
        <v>0</v>
      </c>
      <c r="W187">
        <v>0</v>
      </c>
      <c r="X187">
        <v>0</v>
      </c>
      <c r="Y187" t="s">
        <v>424</v>
      </c>
    </row>
    <row r="188" spans="1:25" x14ac:dyDescent="0.25">
      <c r="A188" s="18">
        <v>46255.942372685182</v>
      </c>
      <c r="B188">
        <v>1</v>
      </c>
      <c r="C188" t="s">
        <v>754</v>
      </c>
      <c r="D188">
        <v>5.132965531308443E-4</v>
      </c>
      <c r="E188">
        <v>0</v>
      </c>
      <c r="F188" t="s">
        <v>579</v>
      </c>
      <c r="J188" s="18">
        <v>46255.942372685182</v>
      </c>
      <c r="K188" t="s">
        <v>754</v>
      </c>
      <c r="L188" t="s">
        <v>155</v>
      </c>
      <c r="M188" t="s">
        <v>43</v>
      </c>
      <c r="N188">
        <v>220</v>
      </c>
      <c r="O188">
        <v>660</v>
      </c>
      <c r="P188">
        <v>1600</v>
      </c>
      <c r="Q188" t="s">
        <v>423</v>
      </c>
      <c r="R188">
        <v>40</v>
      </c>
      <c r="S188">
        <v>40</v>
      </c>
      <c r="U188">
        <v>0</v>
      </c>
      <c r="V188">
        <v>0</v>
      </c>
      <c r="W188">
        <v>0</v>
      </c>
      <c r="X188">
        <v>0</v>
      </c>
      <c r="Y188" t="s">
        <v>424</v>
      </c>
    </row>
    <row r="189" spans="1:25" x14ac:dyDescent="0.25">
      <c r="A189" s="18">
        <v>46255.942372685182</v>
      </c>
      <c r="B189">
        <v>1</v>
      </c>
      <c r="C189" t="s">
        <v>755</v>
      </c>
      <c r="D189">
        <v>3.7722154948240333E-4</v>
      </c>
      <c r="E189">
        <v>0</v>
      </c>
      <c r="F189" t="s">
        <v>579</v>
      </c>
      <c r="J189" s="18">
        <v>46255.942372685182</v>
      </c>
      <c r="K189" t="s">
        <v>755</v>
      </c>
      <c r="L189" t="s">
        <v>155</v>
      </c>
      <c r="M189" t="s">
        <v>43</v>
      </c>
      <c r="N189">
        <v>20</v>
      </c>
      <c r="O189">
        <v>700</v>
      </c>
      <c r="P189">
        <v>1600</v>
      </c>
      <c r="Q189" t="s">
        <v>423</v>
      </c>
      <c r="R189">
        <v>40</v>
      </c>
      <c r="S189">
        <v>40</v>
      </c>
      <c r="U189">
        <v>0</v>
      </c>
      <c r="V189">
        <v>0</v>
      </c>
      <c r="W189">
        <v>0</v>
      </c>
      <c r="X189">
        <v>0</v>
      </c>
      <c r="Y189" t="s">
        <v>424</v>
      </c>
    </row>
    <row r="190" spans="1:25" x14ac:dyDescent="0.25">
      <c r="A190" s="18">
        <v>46255.942372685182</v>
      </c>
      <c r="B190">
        <v>1</v>
      </c>
      <c r="C190" t="s">
        <v>756</v>
      </c>
      <c r="D190">
        <v>4.1865892067430765E-4</v>
      </c>
      <c r="E190">
        <v>0</v>
      </c>
      <c r="F190" t="s">
        <v>579</v>
      </c>
      <c r="J190" s="18">
        <v>46255.942372685182</v>
      </c>
      <c r="K190" t="s">
        <v>756</v>
      </c>
      <c r="L190" t="s">
        <v>155</v>
      </c>
      <c r="M190" t="s">
        <v>43</v>
      </c>
      <c r="N190">
        <v>60</v>
      </c>
      <c r="O190">
        <v>700</v>
      </c>
      <c r="P190">
        <v>1600</v>
      </c>
      <c r="Q190" t="s">
        <v>423</v>
      </c>
      <c r="R190">
        <v>40</v>
      </c>
      <c r="S190">
        <v>40</v>
      </c>
      <c r="U190">
        <v>0</v>
      </c>
      <c r="V190">
        <v>0</v>
      </c>
      <c r="W190">
        <v>0</v>
      </c>
      <c r="X190">
        <v>0</v>
      </c>
      <c r="Y190" t="s">
        <v>424</v>
      </c>
    </row>
    <row r="191" spans="1:25" x14ac:dyDescent="0.25">
      <c r="A191" s="18">
        <v>46255.942372685182</v>
      </c>
      <c r="B191">
        <v>1</v>
      </c>
      <c r="C191" t="s">
        <v>757</v>
      </c>
      <c r="D191">
        <v>4.6009629186621192E-4</v>
      </c>
      <c r="E191">
        <v>0</v>
      </c>
      <c r="F191" t="s">
        <v>579</v>
      </c>
      <c r="J191" s="18">
        <v>46255.942372685182</v>
      </c>
      <c r="K191" t="s">
        <v>757</v>
      </c>
      <c r="L191" t="s">
        <v>155</v>
      </c>
      <c r="M191" t="s">
        <v>43</v>
      </c>
      <c r="N191">
        <v>100</v>
      </c>
      <c r="O191">
        <v>700</v>
      </c>
      <c r="P191">
        <v>1600</v>
      </c>
      <c r="Q191" t="s">
        <v>423</v>
      </c>
      <c r="R191">
        <v>40</v>
      </c>
      <c r="S191">
        <v>40</v>
      </c>
      <c r="U191">
        <v>0</v>
      </c>
      <c r="V191">
        <v>0</v>
      </c>
      <c r="W191">
        <v>0</v>
      </c>
      <c r="X191">
        <v>0</v>
      </c>
      <c r="Y191" t="s">
        <v>424</v>
      </c>
    </row>
    <row r="192" spans="1:25" x14ac:dyDescent="0.25">
      <c r="A192" s="18">
        <v>46255.942372685182</v>
      </c>
      <c r="B192">
        <v>1</v>
      </c>
      <c r="C192" t="s">
        <v>758</v>
      </c>
      <c r="D192">
        <v>5.015336630581163E-4</v>
      </c>
      <c r="E192">
        <v>0</v>
      </c>
      <c r="F192" t="s">
        <v>579</v>
      </c>
      <c r="J192" s="18">
        <v>46255.942372685182</v>
      </c>
      <c r="K192" t="s">
        <v>758</v>
      </c>
      <c r="L192" t="s">
        <v>155</v>
      </c>
      <c r="M192" t="s">
        <v>43</v>
      </c>
      <c r="N192">
        <v>140</v>
      </c>
      <c r="O192">
        <v>700</v>
      </c>
      <c r="P192">
        <v>1600</v>
      </c>
      <c r="Q192" t="s">
        <v>423</v>
      </c>
      <c r="R192">
        <v>40</v>
      </c>
      <c r="S192">
        <v>40</v>
      </c>
      <c r="U192">
        <v>0</v>
      </c>
      <c r="V192">
        <v>0</v>
      </c>
      <c r="W192">
        <v>0</v>
      </c>
      <c r="X192">
        <v>0</v>
      </c>
      <c r="Y192" t="s">
        <v>424</v>
      </c>
    </row>
    <row r="193" spans="1:25" x14ac:dyDescent="0.25">
      <c r="A193" s="18">
        <v>46255.942372685182</v>
      </c>
      <c r="B193">
        <v>1</v>
      </c>
      <c r="C193" t="s">
        <v>759</v>
      </c>
      <c r="D193">
        <v>5.4297103425002052E-4</v>
      </c>
      <c r="E193">
        <v>0</v>
      </c>
      <c r="F193" t="s">
        <v>579</v>
      </c>
      <c r="J193" s="18">
        <v>46255.942372685182</v>
      </c>
      <c r="K193" t="s">
        <v>759</v>
      </c>
      <c r="L193" t="s">
        <v>155</v>
      </c>
      <c r="M193" t="s">
        <v>43</v>
      </c>
      <c r="N193">
        <v>180</v>
      </c>
      <c r="O193">
        <v>700</v>
      </c>
      <c r="P193">
        <v>1600</v>
      </c>
      <c r="Q193" t="s">
        <v>423</v>
      </c>
      <c r="R193">
        <v>40</v>
      </c>
      <c r="S193">
        <v>40</v>
      </c>
      <c r="U193">
        <v>0</v>
      </c>
      <c r="V193">
        <v>0</v>
      </c>
      <c r="W193">
        <v>0</v>
      </c>
      <c r="X193">
        <v>0</v>
      </c>
      <c r="Y193" t="s">
        <v>424</v>
      </c>
    </row>
    <row r="194" spans="1:25" x14ac:dyDescent="0.25">
      <c r="A194" s="18">
        <v>46255.942372685182</v>
      </c>
      <c r="B194">
        <v>1</v>
      </c>
      <c r="C194" t="s">
        <v>760</v>
      </c>
      <c r="D194">
        <v>5.8440840544192484E-4</v>
      </c>
      <c r="E194">
        <v>0</v>
      </c>
      <c r="F194" t="s">
        <v>579</v>
      </c>
      <c r="J194" s="18">
        <v>46255.942372685182</v>
      </c>
      <c r="K194" t="s">
        <v>760</v>
      </c>
      <c r="L194" t="s">
        <v>155</v>
      </c>
      <c r="M194" t="s">
        <v>43</v>
      </c>
      <c r="N194">
        <v>220</v>
      </c>
      <c r="O194">
        <v>700</v>
      </c>
      <c r="P194">
        <v>1600</v>
      </c>
      <c r="Q194" t="s">
        <v>423</v>
      </c>
      <c r="R194">
        <v>40</v>
      </c>
      <c r="S194">
        <v>40</v>
      </c>
      <c r="U194">
        <v>0</v>
      </c>
      <c r="V194">
        <v>0</v>
      </c>
      <c r="W194">
        <v>0</v>
      </c>
      <c r="X194">
        <v>0</v>
      </c>
      <c r="Y194" t="s">
        <v>424</v>
      </c>
    </row>
    <row r="195" spans="1:25" x14ac:dyDescent="0.25">
      <c r="A195" s="18">
        <v>46255.942372685182</v>
      </c>
      <c r="B195">
        <v>1</v>
      </c>
      <c r="C195" t="s">
        <v>761</v>
      </c>
      <c r="D195">
        <v>4.4833340179348393E-4</v>
      </c>
      <c r="E195">
        <v>0</v>
      </c>
      <c r="F195" t="s">
        <v>579</v>
      </c>
      <c r="J195" s="18">
        <v>46255.942372685182</v>
      </c>
      <c r="K195" t="s">
        <v>761</v>
      </c>
      <c r="L195" t="s">
        <v>155</v>
      </c>
      <c r="M195" t="s">
        <v>43</v>
      </c>
      <c r="N195">
        <v>20</v>
      </c>
      <c r="O195">
        <v>740</v>
      </c>
      <c r="P195">
        <v>1600</v>
      </c>
      <c r="Q195" t="s">
        <v>423</v>
      </c>
      <c r="R195">
        <v>40</v>
      </c>
      <c r="S195">
        <v>40</v>
      </c>
      <c r="U195">
        <v>0</v>
      </c>
      <c r="V195">
        <v>0</v>
      </c>
      <c r="W195">
        <v>0</v>
      </c>
      <c r="X195">
        <v>0</v>
      </c>
      <c r="Y195" t="s">
        <v>424</v>
      </c>
    </row>
    <row r="196" spans="1:25" x14ac:dyDescent="0.25">
      <c r="A196" s="18">
        <v>46255.942372685182</v>
      </c>
      <c r="B196">
        <v>1</v>
      </c>
      <c r="C196" t="s">
        <v>762</v>
      </c>
      <c r="D196">
        <v>4.897707729853882E-4</v>
      </c>
      <c r="E196">
        <v>0</v>
      </c>
      <c r="F196" t="s">
        <v>579</v>
      </c>
      <c r="J196" s="18">
        <v>46255.942372685182</v>
      </c>
      <c r="K196" t="s">
        <v>762</v>
      </c>
      <c r="L196" t="s">
        <v>155</v>
      </c>
      <c r="M196" t="s">
        <v>43</v>
      </c>
      <c r="N196">
        <v>60</v>
      </c>
      <c r="O196">
        <v>740</v>
      </c>
      <c r="P196">
        <v>1600</v>
      </c>
      <c r="Q196" t="s">
        <v>423</v>
      </c>
      <c r="R196">
        <v>40</v>
      </c>
      <c r="S196">
        <v>40</v>
      </c>
      <c r="U196">
        <v>0</v>
      </c>
      <c r="V196">
        <v>0</v>
      </c>
      <c r="W196">
        <v>0</v>
      </c>
      <c r="X196">
        <v>0</v>
      </c>
      <c r="Y196" t="s">
        <v>424</v>
      </c>
    </row>
    <row r="197" spans="1:25" x14ac:dyDescent="0.25">
      <c r="A197" s="18">
        <v>46255.942372685182</v>
      </c>
      <c r="B197">
        <v>1</v>
      </c>
      <c r="C197" t="s">
        <v>763</v>
      </c>
      <c r="D197">
        <v>5.3120814417729253E-4</v>
      </c>
      <c r="E197">
        <v>0</v>
      </c>
      <c r="F197" t="s">
        <v>579</v>
      </c>
      <c r="J197" s="18">
        <v>46255.942372685182</v>
      </c>
      <c r="K197" t="s">
        <v>763</v>
      </c>
      <c r="L197" t="s">
        <v>155</v>
      </c>
      <c r="M197" t="s">
        <v>43</v>
      </c>
      <c r="N197">
        <v>100</v>
      </c>
      <c r="O197">
        <v>740</v>
      </c>
      <c r="P197">
        <v>1600</v>
      </c>
      <c r="Q197" t="s">
        <v>423</v>
      </c>
      <c r="R197">
        <v>40</v>
      </c>
      <c r="S197">
        <v>40</v>
      </c>
      <c r="U197">
        <v>0</v>
      </c>
      <c r="V197">
        <v>0</v>
      </c>
      <c r="W197">
        <v>0</v>
      </c>
      <c r="X197">
        <v>0</v>
      </c>
      <c r="Y197" t="s">
        <v>424</v>
      </c>
    </row>
    <row r="198" spans="1:25" x14ac:dyDescent="0.25">
      <c r="A198" s="18">
        <v>46255.942372685182</v>
      </c>
      <c r="B198">
        <v>1</v>
      </c>
      <c r="C198" t="s">
        <v>764</v>
      </c>
      <c r="D198">
        <v>5.7264551536919685E-4</v>
      </c>
      <c r="E198">
        <v>0</v>
      </c>
      <c r="F198" t="s">
        <v>579</v>
      </c>
      <c r="J198" s="18">
        <v>46255.942372685182</v>
      </c>
      <c r="K198" t="s">
        <v>764</v>
      </c>
      <c r="L198" t="s">
        <v>155</v>
      </c>
      <c r="M198" t="s">
        <v>43</v>
      </c>
      <c r="N198">
        <v>140</v>
      </c>
      <c r="O198">
        <v>740</v>
      </c>
      <c r="P198">
        <v>1600</v>
      </c>
      <c r="Q198" t="s">
        <v>423</v>
      </c>
      <c r="R198">
        <v>40</v>
      </c>
      <c r="S198">
        <v>40</v>
      </c>
      <c r="U198">
        <v>0</v>
      </c>
      <c r="V198">
        <v>0</v>
      </c>
      <c r="W198">
        <v>0</v>
      </c>
      <c r="X198">
        <v>0</v>
      </c>
      <c r="Y198" t="s">
        <v>424</v>
      </c>
    </row>
    <row r="199" spans="1:25" x14ac:dyDescent="0.25">
      <c r="A199" s="18">
        <v>46255.942372685182</v>
      </c>
      <c r="B199">
        <v>1</v>
      </c>
      <c r="C199" t="s">
        <v>765</v>
      </c>
      <c r="D199">
        <v>6.1408288656110118E-4</v>
      </c>
      <c r="E199">
        <v>0</v>
      </c>
      <c r="F199" t="s">
        <v>579</v>
      </c>
      <c r="J199" s="18">
        <v>46255.942372685182</v>
      </c>
      <c r="K199" t="s">
        <v>765</v>
      </c>
      <c r="L199" t="s">
        <v>155</v>
      </c>
      <c r="M199" t="s">
        <v>43</v>
      </c>
      <c r="N199">
        <v>180</v>
      </c>
      <c r="O199">
        <v>740</v>
      </c>
      <c r="P199">
        <v>1600</v>
      </c>
      <c r="Q199" t="s">
        <v>423</v>
      </c>
      <c r="R199">
        <v>40</v>
      </c>
      <c r="S199">
        <v>40</v>
      </c>
      <c r="U199">
        <v>0</v>
      </c>
      <c r="V199">
        <v>0</v>
      </c>
      <c r="W199">
        <v>0</v>
      </c>
      <c r="X199">
        <v>0</v>
      </c>
      <c r="Y199" t="s">
        <v>424</v>
      </c>
    </row>
    <row r="200" spans="1:25" x14ac:dyDescent="0.25">
      <c r="A200" s="18">
        <v>46255.942372685182</v>
      </c>
      <c r="B200">
        <v>1</v>
      </c>
      <c r="C200" t="s">
        <v>766</v>
      </c>
      <c r="D200">
        <v>6.555202577530055E-4</v>
      </c>
      <c r="E200">
        <v>0</v>
      </c>
      <c r="F200" t="s">
        <v>579</v>
      </c>
      <c r="J200" s="18">
        <v>46255.942372685182</v>
      </c>
      <c r="K200" t="s">
        <v>766</v>
      </c>
      <c r="L200" t="s">
        <v>155</v>
      </c>
      <c r="M200" t="s">
        <v>43</v>
      </c>
      <c r="N200">
        <v>220</v>
      </c>
      <c r="O200">
        <v>740</v>
      </c>
      <c r="P200">
        <v>1600</v>
      </c>
      <c r="Q200" t="s">
        <v>423</v>
      </c>
      <c r="R200">
        <v>40</v>
      </c>
      <c r="S200">
        <v>40</v>
      </c>
      <c r="U200">
        <v>0</v>
      </c>
      <c r="V200">
        <v>0</v>
      </c>
      <c r="W200">
        <v>0</v>
      </c>
      <c r="X200">
        <v>0</v>
      </c>
      <c r="Y200" t="s">
        <v>424</v>
      </c>
    </row>
    <row r="201" spans="1:25" x14ac:dyDescent="0.25">
      <c r="A201" s="18">
        <v>46255.942372685182</v>
      </c>
      <c r="B201">
        <v>1</v>
      </c>
      <c r="C201" t="s">
        <v>767</v>
      </c>
      <c r="D201">
        <v>5.1944525410456454E-4</v>
      </c>
      <c r="E201">
        <v>0</v>
      </c>
      <c r="F201" t="s">
        <v>579</v>
      </c>
      <c r="J201" s="18">
        <v>46255.942372685182</v>
      </c>
      <c r="K201" t="s">
        <v>767</v>
      </c>
      <c r="L201" t="s">
        <v>155</v>
      </c>
      <c r="M201" t="s">
        <v>43</v>
      </c>
      <c r="N201">
        <v>20</v>
      </c>
      <c r="O201">
        <v>780</v>
      </c>
      <c r="P201">
        <v>1600</v>
      </c>
      <c r="Q201" t="s">
        <v>423</v>
      </c>
      <c r="R201">
        <v>40</v>
      </c>
      <c r="S201">
        <v>40</v>
      </c>
      <c r="U201">
        <v>0</v>
      </c>
      <c r="V201">
        <v>0</v>
      </c>
      <c r="W201">
        <v>0</v>
      </c>
      <c r="X201">
        <v>0</v>
      </c>
      <c r="Y201" t="s">
        <v>424</v>
      </c>
    </row>
    <row r="202" spans="1:25" x14ac:dyDescent="0.25">
      <c r="A202" s="18">
        <v>46255.942372685182</v>
      </c>
      <c r="B202">
        <v>1</v>
      </c>
      <c r="C202" t="s">
        <v>768</v>
      </c>
      <c r="D202">
        <v>5.6088262529646886E-4</v>
      </c>
      <c r="E202">
        <v>0</v>
      </c>
      <c r="F202" t="s">
        <v>579</v>
      </c>
      <c r="J202" s="18">
        <v>46255.942372685182</v>
      </c>
      <c r="K202" t="s">
        <v>768</v>
      </c>
      <c r="L202" t="s">
        <v>155</v>
      </c>
      <c r="M202" t="s">
        <v>43</v>
      </c>
      <c r="N202">
        <v>60</v>
      </c>
      <c r="O202">
        <v>780</v>
      </c>
      <c r="P202">
        <v>1600</v>
      </c>
      <c r="Q202" t="s">
        <v>423</v>
      </c>
      <c r="R202">
        <v>40</v>
      </c>
      <c r="S202">
        <v>40</v>
      </c>
      <c r="U202">
        <v>0</v>
      </c>
      <c r="V202">
        <v>0</v>
      </c>
      <c r="W202">
        <v>0</v>
      </c>
      <c r="X202">
        <v>0</v>
      </c>
      <c r="Y202" t="s">
        <v>424</v>
      </c>
    </row>
    <row r="203" spans="1:25" x14ac:dyDescent="0.25">
      <c r="A203" s="18">
        <v>46255.942372685182</v>
      </c>
      <c r="B203">
        <v>1</v>
      </c>
      <c r="C203" t="s">
        <v>769</v>
      </c>
      <c r="D203">
        <v>6.0231999648837319E-4</v>
      </c>
      <c r="E203">
        <v>0</v>
      </c>
      <c r="F203" t="s">
        <v>579</v>
      </c>
      <c r="J203" s="18">
        <v>46255.942372685182</v>
      </c>
      <c r="K203" t="s">
        <v>769</v>
      </c>
      <c r="L203" t="s">
        <v>155</v>
      </c>
      <c r="M203" t="s">
        <v>43</v>
      </c>
      <c r="N203">
        <v>100</v>
      </c>
      <c r="O203">
        <v>780</v>
      </c>
      <c r="P203">
        <v>1600</v>
      </c>
      <c r="Q203" t="s">
        <v>423</v>
      </c>
      <c r="R203">
        <v>40</v>
      </c>
      <c r="S203">
        <v>40</v>
      </c>
      <c r="U203">
        <v>0</v>
      </c>
      <c r="V203">
        <v>0</v>
      </c>
      <c r="W203">
        <v>0</v>
      </c>
      <c r="X203">
        <v>0</v>
      </c>
      <c r="Y203" t="s">
        <v>424</v>
      </c>
    </row>
    <row r="204" spans="1:25" x14ac:dyDescent="0.25">
      <c r="A204" s="18">
        <v>46255.942372685182</v>
      </c>
      <c r="B204">
        <v>1</v>
      </c>
      <c r="C204" t="s">
        <v>770</v>
      </c>
      <c r="D204">
        <v>6.4375736768027751E-4</v>
      </c>
      <c r="E204">
        <v>0</v>
      </c>
      <c r="F204" t="s">
        <v>579</v>
      </c>
      <c r="J204" s="18">
        <v>46255.942372685182</v>
      </c>
      <c r="K204" t="s">
        <v>770</v>
      </c>
      <c r="L204" t="s">
        <v>155</v>
      </c>
      <c r="M204" t="s">
        <v>43</v>
      </c>
      <c r="N204">
        <v>140</v>
      </c>
      <c r="O204">
        <v>780</v>
      </c>
      <c r="P204">
        <v>1600</v>
      </c>
      <c r="Q204" t="s">
        <v>423</v>
      </c>
      <c r="R204">
        <v>40</v>
      </c>
      <c r="S204">
        <v>40</v>
      </c>
      <c r="U204">
        <v>0</v>
      </c>
      <c r="V204">
        <v>0</v>
      </c>
      <c r="W204">
        <v>0</v>
      </c>
      <c r="X204">
        <v>0</v>
      </c>
      <c r="Y204" t="s">
        <v>424</v>
      </c>
    </row>
    <row r="205" spans="1:25" x14ac:dyDescent="0.25">
      <c r="A205" s="18">
        <v>46255.942372685182</v>
      </c>
      <c r="B205">
        <v>1</v>
      </c>
      <c r="C205" t="s">
        <v>771</v>
      </c>
      <c r="D205">
        <v>6.8519473887218183E-4</v>
      </c>
      <c r="E205">
        <v>0</v>
      </c>
      <c r="F205" t="s">
        <v>579</v>
      </c>
      <c r="J205" s="18">
        <v>46255.942372685182</v>
      </c>
      <c r="K205" t="s">
        <v>771</v>
      </c>
      <c r="L205" t="s">
        <v>155</v>
      </c>
      <c r="M205" t="s">
        <v>43</v>
      </c>
      <c r="N205">
        <v>180</v>
      </c>
      <c r="O205">
        <v>780</v>
      </c>
      <c r="P205">
        <v>1600</v>
      </c>
      <c r="Q205" t="s">
        <v>423</v>
      </c>
      <c r="R205">
        <v>40</v>
      </c>
      <c r="S205">
        <v>40</v>
      </c>
      <c r="U205">
        <v>0</v>
      </c>
      <c r="V205">
        <v>0</v>
      </c>
      <c r="W205">
        <v>0</v>
      </c>
      <c r="X205">
        <v>0</v>
      </c>
      <c r="Y205" t="s">
        <v>424</v>
      </c>
    </row>
    <row r="206" spans="1:25" x14ac:dyDescent="0.25">
      <c r="A206" s="18">
        <v>46255.942372685182</v>
      </c>
      <c r="B206">
        <v>1</v>
      </c>
      <c r="C206" t="s">
        <v>772</v>
      </c>
      <c r="D206">
        <v>7.2663211006408616E-4</v>
      </c>
      <c r="E206">
        <v>0</v>
      </c>
      <c r="F206" t="s">
        <v>579</v>
      </c>
      <c r="J206" s="18">
        <v>46255.942372685182</v>
      </c>
      <c r="K206" t="s">
        <v>772</v>
      </c>
      <c r="L206" t="s">
        <v>155</v>
      </c>
      <c r="M206" t="s">
        <v>43</v>
      </c>
      <c r="N206">
        <v>220</v>
      </c>
      <c r="O206">
        <v>780</v>
      </c>
      <c r="P206">
        <v>1600</v>
      </c>
      <c r="Q206" t="s">
        <v>423</v>
      </c>
      <c r="R206">
        <v>40</v>
      </c>
      <c r="S206">
        <v>40</v>
      </c>
      <c r="U206">
        <v>0</v>
      </c>
      <c r="V206">
        <v>0</v>
      </c>
      <c r="W206">
        <v>0</v>
      </c>
      <c r="X206">
        <v>0</v>
      </c>
      <c r="Y206" t="s">
        <v>424</v>
      </c>
    </row>
    <row r="207" spans="1:25" x14ac:dyDescent="0.25">
      <c r="A207" s="18">
        <v>46255.942372685182</v>
      </c>
      <c r="B207">
        <v>1</v>
      </c>
      <c r="C207" t="s">
        <v>539</v>
      </c>
      <c r="D207">
        <v>8.6825881217377765E-5</v>
      </c>
      <c r="E207">
        <v>17.365176243475553</v>
      </c>
      <c r="F207" t="s">
        <v>253</v>
      </c>
      <c r="J207" s="18">
        <v>46255.942372685182</v>
      </c>
      <c r="K207" t="s">
        <v>539</v>
      </c>
      <c r="L207" t="s">
        <v>540</v>
      </c>
      <c r="M207" t="s">
        <v>64</v>
      </c>
      <c r="N207">
        <v>40</v>
      </c>
      <c r="O207">
        <v>525</v>
      </c>
      <c r="P207">
        <v>804.24771931898704</v>
      </c>
      <c r="Q207" t="s">
        <v>371</v>
      </c>
      <c r="T207">
        <v>32</v>
      </c>
      <c r="U207">
        <v>0</v>
      </c>
      <c r="V207">
        <v>0</v>
      </c>
      <c r="W207">
        <v>0</v>
      </c>
      <c r="X207">
        <v>0</v>
      </c>
      <c r="Y207" t="s">
        <v>541</v>
      </c>
    </row>
    <row r="208" spans="1:25" x14ac:dyDescent="0.25">
      <c r="A208" s="18">
        <v>46255.942372685182</v>
      </c>
      <c r="B208">
        <v>1</v>
      </c>
      <c r="C208" t="s">
        <v>542</v>
      </c>
      <c r="D208">
        <v>-8.6509258790881243E-5</v>
      </c>
      <c r="E208">
        <v>-17.301851758176248</v>
      </c>
      <c r="F208" t="s">
        <v>252</v>
      </c>
      <c r="J208" s="18">
        <v>46255.942372685182</v>
      </c>
      <c r="K208" t="s">
        <v>542</v>
      </c>
      <c r="L208" t="s">
        <v>540</v>
      </c>
      <c r="M208" t="s">
        <v>64</v>
      </c>
      <c r="N208">
        <v>40</v>
      </c>
      <c r="O208">
        <v>427.5</v>
      </c>
      <c r="P208">
        <v>804.24771931898704</v>
      </c>
      <c r="Q208" t="s">
        <v>371</v>
      </c>
      <c r="T208">
        <v>32</v>
      </c>
      <c r="U208">
        <v>0</v>
      </c>
      <c r="V208">
        <v>0</v>
      </c>
      <c r="W208">
        <v>0</v>
      </c>
      <c r="X208">
        <v>0</v>
      </c>
      <c r="Y208" t="s">
        <v>541</v>
      </c>
    </row>
    <row r="209" spans="1:25" x14ac:dyDescent="0.25">
      <c r="A209" s="18">
        <v>46255.942372685182</v>
      </c>
      <c r="B209">
        <v>1</v>
      </c>
      <c r="C209" t="s">
        <v>543</v>
      </c>
      <c r="D209">
        <v>2.6016102122563677E-4</v>
      </c>
      <c r="E209">
        <v>52.032204245127353</v>
      </c>
      <c r="F209" t="s">
        <v>253</v>
      </c>
      <c r="J209" s="18">
        <v>46255.942372685182</v>
      </c>
      <c r="K209" t="s">
        <v>543</v>
      </c>
      <c r="L209" t="s">
        <v>540</v>
      </c>
      <c r="M209" t="s">
        <v>64</v>
      </c>
      <c r="N209">
        <v>40</v>
      </c>
      <c r="O209">
        <v>622.5</v>
      </c>
      <c r="P209">
        <v>804.24771931898704</v>
      </c>
      <c r="Q209" t="s">
        <v>371</v>
      </c>
      <c r="T209">
        <v>32</v>
      </c>
      <c r="U209">
        <v>0</v>
      </c>
      <c r="V209">
        <v>0</v>
      </c>
      <c r="W209">
        <v>0</v>
      </c>
      <c r="X209">
        <v>0</v>
      </c>
      <c r="Y209" t="s">
        <v>541</v>
      </c>
    </row>
    <row r="210" spans="1:25" x14ac:dyDescent="0.25">
      <c r="A210" s="18">
        <v>46255.942372685182</v>
      </c>
      <c r="B210">
        <v>1</v>
      </c>
      <c r="C210" t="s">
        <v>544</v>
      </c>
      <c r="D210">
        <v>-2.5984439879914026E-4</v>
      </c>
      <c r="E210">
        <v>-51.968879759828049</v>
      </c>
      <c r="F210" t="s">
        <v>252</v>
      </c>
      <c r="J210" s="18">
        <v>46255.942372685182</v>
      </c>
      <c r="K210" t="s">
        <v>544</v>
      </c>
      <c r="L210" t="s">
        <v>540</v>
      </c>
      <c r="M210" t="s">
        <v>64</v>
      </c>
      <c r="N210">
        <v>40</v>
      </c>
      <c r="O210">
        <v>330</v>
      </c>
      <c r="P210">
        <v>804.24771931898704</v>
      </c>
      <c r="Q210" t="s">
        <v>371</v>
      </c>
      <c r="T210">
        <v>32</v>
      </c>
      <c r="U210">
        <v>0</v>
      </c>
      <c r="V210">
        <v>0</v>
      </c>
      <c r="W210">
        <v>0</v>
      </c>
      <c r="X210">
        <v>0</v>
      </c>
      <c r="Y210" t="s">
        <v>541</v>
      </c>
    </row>
    <row r="211" spans="1:25" x14ac:dyDescent="0.25">
      <c r="A211" s="18">
        <v>46255.942372685182</v>
      </c>
      <c r="B211">
        <v>1</v>
      </c>
      <c r="C211" t="s">
        <v>545</v>
      </c>
      <c r="D211">
        <v>4.3349616123389577E-4</v>
      </c>
      <c r="E211">
        <v>86.699232246779147</v>
      </c>
      <c r="F211" t="s">
        <v>253</v>
      </c>
      <c r="J211" s="18">
        <v>46255.942372685182</v>
      </c>
      <c r="K211" t="s">
        <v>545</v>
      </c>
      <c r="L211" t="s">
        <v>540</v>
      </c>
      <c r="M211" t="s">
        <v>64</v>
      </c>
      <c r="N211">
        <v>40</v>
      </c>
      <c r="O211">
        <v>720</v>
      </c>
      <c r="P211">
        <v>804.24771931898704</v>
      </c>
      <c r="Q211" t="s">
        <v>371</v>
      </c>
      <c r="T211">
        <v>32</v>
      </c>
      <c r="U211">
        <v>0</v>
      </c>
      <c r="V211">
        <v>0</v>
      </c>
      <c r="W211">
        <v>0</v>
      </c>
      <c r="X211">
        <v>0</v>
      </c>
      <c r="Y211" t="s">
        <v>541</v>
      </c>
    </row>
    <row r="212" spans="1:25" x14ac:dyDescent="0.25">
      <c r="A212" s="18">
        <v>46255.942372685182</v>
      </c>
      <c r="B212">
        <v>1</v>
      </c>
      <c r="C212" t="s">
        <v>546</v>
      </c>
      <c r="D212">
        <v>2.629347087829711E-4</v>
      </c>
      <c r="E212">
        <v>52.586941756594221</v>
      </c>
      <c r="F212" t="s">
        <v>253</v>
      </c>
      <c r="J212" s="18">
        <v>46255.942372685182</v>
      </c>
      <c r="K212" t="s">
        <v>546</v>
      </c>
      <c r="L212" t="s">
        <v>540</v>
      </c>
      <c r="M212" t="s">
        <v>64</v>
      </c>
      <c r="N212">
        <v>210</v>
      </c>
      <c r="O212">
        <v>525</v>
      </c>
      <c r="P212">
        <v>804.24771931898704</v>
      </c>
      <c r="Q212" t="s">
        <v>371</v>
      </c>
      <c r="T212">
        <v>32</v>
      </c>
      <c r="U212">
        <v>0</v>
      </c>
      <c r="V212">
        <v>0</v>
      </c>
      <c r="W212">
        <v>0</v>
      </c>
      <c r="X212">
        <v>0</v>
      </c>
      <c r="Y212" t="s">
        <v>547</v>
      </c>
    </row>
    <row r="213" spans="1:25" x14ac:dyDescent="0.25">
      <c r="A213" s="18">
        <v>46255.942372685182</v>
      </c>
      <c r="B213">
        <v>1</v>
      </c>
      <c r="C213" t="s">
        <v>548</v>
      </c>
      <c r="D213">
        <v>4.362698487912301E-4</v>
      </c>
      <c r="E213">
        <v>87.253969758246015</v>
      </c>
      <c r="F213" t="s">
        <v>253</v>
      </c>
      <c r="J213" s="18">
        <v>46255.942372685182</v>
      </c>
      <c r="K213" t="s">
        <v>548</v>
      </c>
      <c r="L213" t="s">
        <v>540</v>
      </c>
      <c r="M213" t="s">
        <v>64</v>
      </c>
      <c r="N213">
        <v>210</v>
      </c>
      <c r="O213">
        <v>622.5</v>
      </c>
      <c r="P213">
        <v>804.24771931898704</v>
      </c>
      <c r="Q213" t="s">
        <v>371</v>
      </c>
      <c r="T213">
        <v>32</v>
      </c>
      <c r="U213">
        <v>0</v>
      </c>
      <c r="V213">
        <v>0</v>
      </c>
      <c r="W213">
        <v>0</v>
      </c>
      <c r="X213">
        <v>0</v>
      </c>
      <c r="Y213" t="s">
        <v>547</v>
      </c>
    </row>
    <row r="214" spans="1:25" x14ac:dyDescent="0.25">
      <c r="A214" s="18">
        <v>46255.942372685182</v>
      </c>
      <c r="B214">
        <v>1</v>
      </c>
      <c r="C214" t="s">
        <v>549</v>
      </c>
      <c r="D214">
        <v>8.9599568774712069E-5</v>
      </c>
      <c r="E214">
        <v>17.919913754942414</v>
      </c>
      <c r="F214" t="s">
        <v>253</v>
      </c>
      <c r="J214" s="18">
        <v>46255.942372685182</v>
      </c>
      <c r="K214" t="s">
        <v>549</v>
      </c>
      <c r="L214" t="s">
        <v>540</v>
      </c>
      <c r="M214" t="s">
        <v>64</v>
      </c>
      <c r="N214">
        <v>210</v>
      </c>
      <c r="O214">
        <v>427.5</v>
      </c>
      <c r="P214">
        <v>804.24771931898704</v>
      </c>
      <c r="Q214" t="s">
        <v>371</v>
      </c>
      <c r="T214">
        <v>32</v>
      </c>
      <c r="U214">
        <v>0</v>
      </c>
      <c r="V214">
        <v>0</v>
      </c>
      <c r="W214">
        <v>0</v>
      </c>
      <c r="X214">
        <v>0</v>
      </c>
      <c r="Y214" t="s">
        <v>547</v>
      </c>
    </row>
    <row r="215" spans="1:25" x14ac:dyDescent="0.25">
      <c r="A215" s="18">
        <v>46255.942372685182</v>
      </c>
      <c r="B215">
        <v>1</v>
      </c>
      <c r="C215" t="s">
        <v>550</v>
      </c>
      <c r="D215">
        <v>6.0960498879948915E-4</v>
      </c>
      <c r="E215">
        <v>121.92099775989783</v>
      </c>
      <c r="F215" t="s">
        <v>253</v>
      </c>
      <c r="J215" s="18">
        <v>46255.942372685182</v>
      </c>
      <c r="K215" t="s">
        <v>550</v>
      </c>
      <c r="L215" t="s">
        <v>540</v>
      </c>
      <c r="M215" t="s">
        <v>64</v>
      </c>
      <c r="N215">
        <v>210</v>
      </c>
      <c r="O215">
        <v>720</v>
      </c>
      <c r="P215">
        <v>804.24771931898704</v>
      </c>
      <c r="Q215" t="s">
        <v>371</v>
      </c>
      <c r="T215">
        <v>32</v>
      </c>
      <c r="U215">
        <v>0</v>
      </c>
      <c r="V215">
        <v>0</v>
      </c>
      <c r="W215">
        <v>0</v>
      </c>
      <c r="X215">
        <v>0</v>
      </c>
      <c r="Y215" t="s">
        <v>547</v>
      </c>
    </row>
    <row r="216" spans="1:25" x14ac:dyDescent="0.25">
      <c r="A216" s="18">
        <v>46255.942372685182</v>
      </c>
      <c r="B216">
        <v>1</v>
      </c>
      <c r="C216" t="s">
        <v>551</v>
      </c>
      <c r="D216">
        <v>-8.3735571233546939E-5</v>
      </c>
      <c r="E216">
        <v>-16.747114246709387</v>
      </c>
      <c r="F216" t="s">
        <v>252</v>
      </c>
      <c r="J216" s="18">
        <v>46255.942372685182</v>
      </c>
      <c r="K216" t="s">
        <v>551</v>
      </c>
      <c r="L216" t="s">
        <v>540</v>
      </c>
      <c r="M216" t="s">
        <v>64</v>
      </c>
      <c r="N216">
        <v>210</v>
      </c>
      <c r="O216">
        <v>330</v>
      </c>
      <c r="P216">
        <v>804.24771931898704</v>
      </c>
      <c r="Q216" t="s">
        <v>371</v>
      </c>
      <c r="T216">
        <v>32</v>
      </c>
      <c r="U216">
        <v>0</v>
      </c>
      <c r="V216">
        <v>0</v>
      </c>
      <c r="W216">
        <v>0</v>
      </c>
      <c r="X216">
        <v>0</v>
      </c>
      <c r="Y216" t="s">
        <v>547</v>
      </c>
    </row>
    <row r="217" spans="1:25" x14ac:dyDescent="0.25">
      <c r="A217" s="18">
        <v>46255.942372685182</v>
      </c>
      <c r="B217">
        <v>1</v>
      </c>
      <c r="C217" t="s">
        <v>552</v>
      </c>
      <c r="D217">
        <v>5.4604538473688069E-4</v>
      </c>
      <c r="E217">
        <v>109.20907694737613</v>
      </c>
      <c r="F217" t="s">
        <v>253</v>
      </c>
      <c r="J217" s="18">
        <v>46255.942372685182</v>
      </c>
      <c r="K217" t="s">
        <v>552</v>
      </c>
      <c r="L217" t="s">
        <v>540</v>
      </c>
      <c r="M217" t="s">
        <v>64</v>
      </c>
      <c r="N217">
        <v>80</v>
      </c>
      <c r="O217">
        <v>760</v>
      </c>
      <c r="P217">
        <v>804.24771931898704</v>
      </c>
      <c r="Q217" t="s">
        <v>371</v>
      </c>
      <c r="T217">
        <v>32</v>
      </c>
      <c r="U217">
        <v>0</v>
      </c>
      <c r="V217">
        <v>0</v>
      </c>
      <c r="W217">
        <v>0</v>
      </c>
      <c r="X217">
        <v>0</v>
      </c>
      <c r="Y217" t="s">
        <v>553</v>
      </c>
    </row>
    <row r="218" spans="1:25" x14ac:dyDescent="0.25">
      <c r="A218" s="18">
        <v>46255.942372685182</v>
      </c>
      <c r="B218">
        <v>1</v>
      </c>
      <c r="C218" t="s">
        <v>554</v>
      </c>
      <c r="D218">
        <v>6.3927946991866537E-4</v>
      </c>
      <c r="E218">
        <v>127.85589398373307</v>
      </c>
      <c r="F218" t="s">
        <v>253</v>
      </c>
      <c r="J218" s="18">
        <v>46255.942372685182</v>
      </c>
      <c r="K218" t="s">
        <v>554</v>
      </c>
      <c r="L218" t="s">
        <v>540</v>
      </c>
      <c r="M218" t="s">
        <v>64</v>
      </c>
      <c r="N218">
        <v>170</v>
      </c>
      <c r="O218">
        <v>760</v>
      </c>
      <c r="P218">
        <v>804.24771931898704</v>
      </c>
      <c r="Q218" t="s">
        <v>371</v>
      </c>
      <c r="T218">
        <v>32</v>
      </c>
      <c r="U218">
        <v>0</v>
      </c>
      <c r="V218">
        <v>0</v>
      </c>
      <c r="W218">
        <v>0</v>
      </c>
      <c r="X218">
        <v>0</v>
      </c>
      <c r="Y218" t="s">
        <v>553</v>
      </c>
    </row>
    <row r="219" spans="1:25" x14ac:dyDescent="0.25">
      <c r="A219" s="18">
        <v>46255.942372685182</v>
      </c>
      <c r="B219">
        <v>1</v>
      </c>
      <c r="C219" t="s">
        <v>555</v>
      </c>
      <c r="D219">
        <v>-1.9628479473653187E-4</v>
      </c>
      <c r="E219">
        <v>-39.256958947306373</v>
      </c>
      <c r="F219" t="s">
        <v>252</v>
      </c>
      <c r="J219" s="18">
        <v>46255.942372685182</v>
      </c>
      <c r="K219" t="s">
        <v>555</v>
      </c>
      <c r="L219" t="s">
        <v>540</v>
      </c>
      <c r="M219" t="s">
        <v>64</v>
      </c>
      <c r="N219">
        <v>170</v>
      </c>
      <c r="O219">
        <v>290</v>
      </c>
      <c r="P219">
        <v>804.24771931898704</v>
      </c>
      <c r="Q219" t="s">
        <v>371</v>
      </c>
      <c r="T219">
        <v>32</v>
      </c>
      <c r="U219">
        <v>0</v>
      </c>
      <c r="V219">
        <v>0</v>
      </c>
      <c r="W219">
        <v>0</v>
      </c>
      <c r="X219">
        <v>0</v>
      </c>
      <c r="Y219" t="s">
        <v>556</v>
      </c>
    </row>
    <row r="220" spans="1:25" x14ac:dyDescent="0.25">
      <c r="A220" s="18">
        <v>46255.942372685182</v>
      </c>
      <c r="B220">
        <v>1</v>
      </c>
      <c r="C220" t="s">
        <v>557</v>
      </c>
      <c r="D220">
        <v>-2.895188799183166E-4</v>
      </c>
      <c r="E220">
        <v>-57.903775983663316</v>
      </c>
      <c r="F220" t="s">
        <v>252</v>
      </c>
      <c r="J220" s="18">
        <v>46255.942372685182</v>
      </c>
      <c r="K220" t="s">
        <v>557</v>
      </c>
      <c r="L220" t="s">
        <v>540</v>
      </c>
      <c r="M220" t="s">
        <v>64</v>
      </c>
      <c r="N220">
        <v>79.999999999999986</v>
      </c>
      <c r="O220">
        <v>290</v>
      </c>
      <c r="P220">
        <v>804.24771931898704</v>
      </c>
      <c r="Q220" t="s">
        <v>371</v>
      </c>
      <c r="T220">
        <v>32</v>
      </c>
      <c r="U220">
        <v>0</v>
      </c>
      <c r="V220">
        <v>0</v>
      </c>
      <c r="W220">
        <v>0</v>
      </c>
      <c r="X220">
        <v>0</v>
      </c>
      <c r="Y220" t="s">
        <v>556</v>
      </c>
    </row>
    <row r="221" spans="1:25" x14ac:dyDescent="0.25">
      <c r="A221" s="18">
        <v>46255.942372685182</v>
      </c>
      <c r="B221">
        <v>1</v>
      </c>
      <c r="C221" t="s">
        <v>558</v>
      </c>
      <c r="D221">
        <v>-7.0429347574339416E-4</v>
      </c>
      <c r="E221">
        <v>-140.85869514867883</v>
      </c>
      <c r="F221" t="s">
        <v>252</v>
      </c>
      <c r="J221" s="18">
        <v>46255.942372685182</v>
      </c>
      <c r="K221" t="s">
        <v>558</v>
      </c>
      <c r="L221" t="s">
        <v>540</v>
      </c>
      <c r="M221" t="s">
        <v>64</v>
      </c>
      <c r="N221">
        <v>40</v>
      </c>
      <c r="O221">
        <v>80</v>
      </c>
      <c r="P221">
        <v>804.24771931898704</v>
      </c>
      <c r="Q221" t="s">
        <v>371</v>
      </c>
      <c r="T221">
        <v>32</v>
      </c>
      <c r="U221">
        <v>0</v>
      </c>
      <c r="V221">
        <v>0</v>
      </c>
      <c r="W221">
        <v>0</v>
      </c>
      <c r="X221">
        <v>0</v>
      </c>
      <c r="Y221" t="s">
        <v>559</v>
      </c>
    </row>
    <row r="222" spans="1:25" x14ac:dyDescent="0.25">
      <c r="A222" s="18">
        <v>46255.942372685182</v>
      </c>
      <c r="B222">
        <v>1</v>
      </c>
      <c r="C222" t="s">
        <v>560</v>
      </c>
      <c r="D222">
        <v>-5.4429180804346279E-4</v>
      </c>
      <c r="E222">
        <v>-108.85836160869256</v>
      </c>
      <c r="F222" t="s">
        <v>252</v>
      </c>
      <c r="J222" s="18">
        <v>46255.942372685182</v>
      </c>
      <c r="K222" t="s">
        <v>560</v>
      </c>
      <c r="L222" t="s">
        <v>540</v>
      </c>
      <c r="M222" t="s">
        <v>64</v>
      </c>
      <c r="N222">
        <v>40</v>
      </c>
      <c r="O222">
        <v>170</v>
      </c>
      <c r="P222">
        <v>804.24771931898704</v>
      </c>
      <c r="Q222" t="s">
        <v>371</v>
      </c>
      <c r="T222">
        <v>32</v>
      </c>
      <c r="U222">
        <v>0</v>
      </c>
      <c r="V222">
        <v>0</v>
      </c>
      <c r="W222">
        <v>0</v>
      </c>
      <c r="X222">
        <v>0</v>
      </c>
      <c r="Y222" t="s">
        <v>559</v>
      </c>
    </row>
    <row r="223" spans="1:25" x14ac:dyDescent="0.25">
      <c r="A223" s="18">
        <v>46255.942372685182</v>
      </c>
      <c r="B223">
        <v>1</v>
      </c>
      <c r="C223" t="s">
        <v>561</v>
      </c>
      <c r="D223">
        <v>-5.6059825487066965E-6</v>
      </c>
      <c r="E223">
        <v>-1.1211965097413392</v>
      </c>
      <c r="F223" t="s">
        <v>252</v>
      </c>
      <c r="J223" s="18">
        <v>46255.942372685182</v>
      </c>
      <c r="K223" t="s">
        <v>561</v>
      </c>
      <c r="L223" t="s">
        <v>540</v>
      </c>
      <c r="M223" t="s">
        <v>64</v>
      </c>
      <c r="N223">
        <v>560</v>
      </c>
      <c r="O223">
        <v>170</v>
      </c>
      <c r="P223">
        <v>804.24771931898704</v>
      </c>
      <c r="Q223" t="s">
        <v>371</v>
      </c>
      <c r="T223">
        <v>32</v>
      </c>
      <c r="U223">
        <v>0</v>
      </c>
      <c r="V223">
        <v>0</v>
      </c>
      <c r="W223">
        <v>0</v>
      </c>
      <c r="X223">
        <v>0</v>
      </c>
      <c r="Y223" t="s">
        <v>562</v>
      </c>
    </row>
    <row r="224" spans="1:25" x14ac:dyDescent="0.25">
      <c r="A224" s="18">
        <v>46255.942372685182</v>
      </c>
      <c r="B224">
        <v>1</v>
      </c>
      <c r="C224" t="s">
        <v>563</v>
      </c>
      <c r="D224">
        <v>-1.6560765024863813E-4</v>
      </c>
      <c r="E224">
        <v>-33.121530049727625</v>
      </c>
      <c r="F224" t="s">
        <v>252</v>
      </c>
      <c r="J224" s="18">
        <v>46255.942372685182</v>
      </c>
      <c r="K224" t="s">
        <v>563</v>
      </c>
      <c r="L224" t="s">
        <v>540</v>
      </c>
      <c r="M224" t="s">
        <v>64</v>
      </c>
      <c r="N224">
        <v>560</v>
      </c>
      <c r="O224">
        <v>79.999999999999986</v>
      </c>
      <c r="P224">
        <v>804.24771931898704</v>
      </c>
      <c r="Q224" t="s">
        <v>371</v>
      </c>
      <c r="T224">
        <v>32</v>
      </c>
      <c r="U224">
        <v>0</v>
      </c>
      <c r="V224">
        <v>0</v>
      </c>
      <c r="W224">
        <v>0</v>
      </c>
      <c r="X224">
        <v>0</v>
      </c>
      <c r="Y224" t="s">
        <v>562</v>
      </c>
    </row>
    <row r="225" spans="1:25" x14ac:dyDescent="0.25">
      <c r="A225" s="18">
        <v>46255.942372685182</v>
      </c>
      <c r="B225">
        <v>1</v>
      </c>
      <c r="C225" t="s">
        <v>564</v>
      </c>
      <c r="D225">
        <v>-2.038370429850041E-4</v>
      </c>
      <c r="E225">
        <v>-40.767408597000816</v>
      </c>
      <c r="F225" t="s">
        <v>252</v>
      </c>
      <c r="J225" s="18">
        <v>46255.942372685182</v>
      </c>
      <c r="K225" t="s">
        <v>564</v>
      </c>
      <c r="L225" t="s">
        <v>540</v>
      </c>
      <c r="M225" t="s">
        <v>64</v>
      </c>
      <c r="N225">
        <v>300</v>
      </c>
      <c r="O225">
        <v>210</v>
      </c>
      <c r="P225">
        <v>804.24771931898704</v>
      </c>
      <c r="Q225" t="s">
        <v>371</v>
      </c>
      <c r="T225">
        <v>32</v>
      </c>
      <c r="U225">
        <v>0</v>
      </c>
      <c r="V225">
        <v>0</v>
      </c>
      <c r="W225">
        <v>0</v>
      </c>
      <c r="X225">
        <v>0</v>
      </c>
      <c r="Y225" t="s">
        <v>565</v>
      </c>
    </row>
    <row r="226" spans="1:25" x14ac:dyDescent="0.25">
      <c r="A226" s="18">
        <v>46255.942372685182</v>
      </c>
      <c r="B226">
        <v>1</v>
      </c>
      <c r="C226" t="s">
        <v>566</v>
      </c>
      <c r="D226">
        <v>-3.1778981376274096E-4</v>
      </c>
      <c r="E226">
        <v>-63.557962752548192</v>
      </c>
      <c r="F226" t="s">
        <v>252</v>
      </c>
      <c r="J226" s="18">
        <v>46255.942372685182</v>
      </c>
      <c r="K226" t="s">
        <v>566</v>
      </c>
      <c r="L226" t="s">
        <v>540</v>
      </c>
      <c r="M226" t="s">
        <v>64</v>
      </c>
      <c r="N226">
        <v>190</v>
      </c>
      <c r="O226">
        <v>210</v>
      </c>
      <c r="P226">
        <v>804.24771931898704</v>
      </c>
      <c r="Q226" t="s">
        <v>371</v>
      </c>
      <c r="T226">
        <v>32</v>
      </c>
      <c r="U226">
        <v>0</v>
      </c>
      <c r="V226">
        <v>0</v>
      </c>
      <c r="W226">
        <v>0</v>
      </c>
      <c r="X226">
        <v>0</v>
      </c>
      <c r="Y226" t="s">
        <v>565</v>
      </c>
    </row>
    <row r="227" spans="1:25" x14ac:dyDescent="0.25">
      <c r="A227" s="18">
        <v>46255.942372685182</v>
      </c>
      <c r="B227">
        <v>1</v>
      </c>
      <c r="C227" t="s">
        <v>567</v>
      </c>
      <c r="D227">
        <v>-8.9884272207267247E-5</v>
      </c>
      <c r="E227">
        <v>-17.976854441453447</v>
      </c>
      <c r="F227" t="s">
        <v>252</v>
      </c>
      <c r="J227" s="18">
        <v>46255.942372685182</v>
      </c>
      <c r="K227" t="s">
        <v>567</v>
      </c>
      <c r="L227" t="s">
        <v>540</v>
      </c>
      <c r="M227" t="s">
        <v>64</v>
      </c>
      <c r="N227">
        <v>410</v>
      </c>
      <c r="O227">
        <v>210</v>
      </c>
      <c r="P227">
        <v>804.24771931898704</v>
      </c>
      <c r="Q227" t="s">
        <v>371</v>
      </c>
      <c r="T227">
        <v>32</v>
      </c>
      <c r="U227">
        <v>0</v>
      </c>
      <c r="V227">
        <v>0</v>
      </c>
      <c r="W227">
        <v>0</v>
      </c>
      <c r="X227">
        <v>0</v>
      </c>
      <c r="Y227" t="s">
        <v>565</v>
      </c>
    </row>
    <row r="228" spans="1:25" x14ac:dyDescent="0.25">
      <c r="A228" s="18">
        <v>46255.942372685182</v>
      </c>
      <c r="B228">
        <v>1</v>
      </c>
      <c r="C228" t="s">
        <v>568</v>
      </c>
      <c r="D228">
        <v>-4.317425845404778E-4</v>
      </c>
      <c r="E228">
        <v>-86.348516908095561</v>
      </c>
      <c r="F228" t="s">
        <v>252</v>
      </c>
      <c r="J228" s="18">
        <v>46255.942372685182</v>
      </c>
      <c r="K228" t="s">
        <v>568</v>
      </c>
      <c r="L228" t="s">
        <v>540</v>
      </c>
      <c r="M228" t="s">
        <v>64</v>
      </c>
      <c r="N228">
        <v>80</v>
      </c>
      <c r="O228">
        <v>210</v>
      </c>
      <c r="P228">
        <v>804.24771931898704</v>
      </c>
      <c r="Q228" t="s">
        <v>371</v>
      </c>
      <c r="T228">
        <v>32</v>
      </c>
      <c r="U228">
        <v>0</v>
      </c>
      <c r="V228">
        <v>0</v>
      </c>
      <c r="W228">
        <v>0</v>
      </c>
      <c r="X228">
        <v>0</v>
      </c>
      <c r="Y228" t="s">
        <v>565</v>
      </c>
    </row>
    <row r="229" spans="1:25" x14ac:dyDescent="0.25">
      <c r="A229" s="18">
        <v>46255.942372685182</v>
      </c>
      <c r="B229">
        <v>1</v>
      </c>
      <c r="C229" t="s">
        <v>569</v>
      </c>
      <c r="D229">
        <v>2.4068498570469612E-5</v>
      </c>
      <c r="E229">
        <v>4.8136997140939224</v>
      </c>
      <c r="F229" t="s">
        <v>253</v>
      </c>
      <c r="J229" s="18">
        <v>46255.942372685182</v>
      </c>
      <c r="K229" t="s">
        <v>569</v>
      </c>
      <c r="L229" t="s">
        <v>540</v>
      </c>
      <c r="M229" t="s">
        <v>64</v>
      </c>
      <c r="N229">
        <v>520</v>
      </c>
      <c r="O229">
        <v>210</v>
      </c>
      <c r="P229">
        <v>804.24771931898704</v>
      </c>
      <c r="Q229" t="s">
        <v>371</v>
      </c>
      <c r="T229">
        <v>32</v>
      </c>
      <c r="U229">
        <v>0</v>
      </c>
      <c r="V229">
        <v>0</v>
      </c>
      <c r="W229">
        <v>0</v>
      </c>
      <c r="X229">
        <v>0</v>
      </c>
      <c r="Y229" t="s">
        <v>565</v>
      </c>
    </row>
    <row r="230" spans="1:25" x14ac:dyDescent="0.25">
      <c r="A230" s="18">
        <v>46255.942372685182</v>
      </c>
      <c r="B230">
        <v>1</v>
      </c>
      <c r="C230" t="s">
        <v>570</v>
      </c>
      <c r="D230">
        <v>-5.060624153070967E-4</v>
      </c>
      <c r="E230">
        <v>-101.21248306141933</v>
      </c>
      <c r="F230" t="s">
        <v>252</v>
      </c>
      <c r="J230" s="18">
        <v>46255.942372685182</v>
      </c>
      <c r="K230" t="s">
        <v>570</v>
      </c>
      <c r="L230" t="s">
        <v>540</v>
      </c>
      <c r="M230" t="s">
        <v>64</v>
      </c>
      <c r="N230">
        <v>300</v>
      </c>
      <c r="O230">
        <v>40</v>
      </c>
      <c r="P230">
        <v>804.24771931898704</v>
      </c>
      <c r="Q230" t="s">
        <v>371</v>
      </c>
      <c r="T230">
        <v>32</v>
      </c>
      <c r="U230">
        <v>0</v>
      </c>
      <c r="V230">
        <v>0</v>
      </c>
      <c r="W230">
        <v>0</v>
      </c>
      <c r="X230">
        <v>0</v>
      </c>
      <c r="Y230" t="s">
        <v>571</v>
      </c>
    </row>
    <row r="231" spans="1:25" x14ac:dyDescent="0.25">
      <c r="A231" s="18">
        <v>46255.942372685182</v>
      </c>
      <c r="B231">
        <v>1</v>
      </c>
      <c r="C231" t="s">
        <v>572</v>
      </c>
      <c r="D231">
        <v>-3.9210964452935987E-4</v>
      </c>
      <c r="E231">
        <v>-78.421928905871965</v>
      </c>
      <c r="F231" t="s">
        <v>252</v>
      </c>
      <c r="J231" s="18">
        <v>46255.942372685182</v>
      </c>
      <c r="K231" t="s">
        <v>572</v>
      </c>
      <c r="L231" t="s">
        <v>540</v>
      </c>
      <c r="M231" t="s">
        <v>64</v>
      </c>
      <c r="N231">
        <v>410</v>
      </c>
      <c r="O231">
        <v>40</v>
      </c>
      <c r="P231">
        <v>804.24771931898704</v>
      </c>
      <c r="Q231" t="s">
        <v>371</v>
      </c>
      <c r="T231">
        <v>32</v>
      </c>
      <c r="U231">
        <v>0</v>
      </c>
      <c r="V231">
        <v>0</v>
      </c>
      <c r="W231">
        <v>0</v>
      </c>
      <c r="X231">
        <v>0</v>
      </c>
      <c r="Y231" t="s">
        <v>571</v>
      </c>
    </row>
    <row r="232" spans="1:25" x14ac:dyDescent="0.25">
      <c r="A232" s="18">
        <v>46255.942372685182</v>
      </c>
      <c r="B232">
        <v>1</v>
      </c>
      <c r="C232" t="s">
        <v>573</v>
      </c>
      <c r="D232">
        <v>-6.2001518608483354E-4</v>
      </c>
      <c r="E232">
        <v>-124.0030372169667</v>
      </c>
      <c r="F232" t="s">
        <v>252</v>
      </c>
      <c r="J232" s="18">
        <v>46255.942372685182</v>
      </c>
      <c r="K232" t="s">
        <v>573</v>
      </c>
      <c r="L232" t="s">
        <v>540</v>
      </c>
      <c r="M232" t="s">
        <v>64</v>
      </c>
      <c r="N232">
        <v>190</v>
      </c>
      <c r="O232">
        <v>40</v>
      </c>
      <c r="P232">
        <v>804.24771931898704</v>
      </c>
      <c r="Q232" t="s">
        <v>371</v>
      </c>
      <c r="T232">
        <v>32</v>
      </c>
      <c r="U232">
        <v>0</v>
      </c>
      <c r="V232">
        <v>0</v>
      </c>
      <c r="W232">
        <v>0</v>
      </c>
      <c r="X232">
        <v>0</v>
      </c>
      <c r="Y232" t="s">
        <v>571</v>
      </c>
    </row>
    <row r="233" spans="1:25" x14ac:dyDescent="0.25">
      <c r="A233" s="18">
        <v>46255.942372685182</v>
      </c>
      <c r="B233">
        <v>1</v>
      </c>
      <c r="C233" t="s">
        <v>574</v>
      </c>
      <c r="D233">
        <v>-2.7815687375162303E-4</v>
      </c>
      <c r="E233">
        <v>-55.631374750324603</v>
      </c>
      <c r="F233" t="s">
        <v>252</v>
      </c>
      <c r="J233" s="18">
        <v>46255.942372685182</v>
      </c>
      <c r="K233" t="s">
        <v>574</v>
      </c>
      <c r="L233" t="s">
        <v>540</v>
      </c>
      <c r="M233" t="s">
        <v>64</v>
      </c>
      <c r="N233">
        <v>520</v>
      </c>
      <c r="O233">
        <v>40</v>
      </c>
      <c r="P233">
        <v>804.24771931898704</v>
      </c>
      <c r="Q233" t="s">
        <v>371</v>
      </c>
      <c r="T233">
        <v>32</v>
      </c>
      <c r="U233">
        <v>0</v>
      </c>
      <c r="V233">
        <v>0</v>
      </c>
      <c r="W233">
        <v>0</v>
      </c>
      <c r="X233">
        <v>0</v>
      </c>
      <c r="Y233" t="s">
        <v>571</v>
      </c>
    </row>
    <row r="234" spans="1:25" x14ac:dyDescent="0.25">
      <c r="A234" s="18">
        <v>46255.942372685182</v>
      </c>
      <c r="B234">
        <v>1</v>
      </c>
      <c r="C234" t="s">
        <v>575</v>
      </c>
      <c r="D234">
        <v>-7.3396795686257049E-4</v>
      </c>
      <c r="E234">
        <v>-146.7935913725141</v>
      </c>
      <c r="F234" t="s">
        <v>252</v>
      </c>
      <c r="J234" s="18">
        <v>46255.942372685182</v>
      </c>
      <c r="K234" t="s">
        <v>575</v>
      </c>
      <c r="L234" t="s">
        <v>540</v>
      </c>
      <c r="M234" t="s">
        <v>64</v>
      </c>
      <c r="N234">
        <v>79.999999999999986</v>
      </c>
      <c r="O234">
        <v>40</v>
      </c>
      <c r="P234">
        <v>804.24771931898704</v>
      </c>
      <c r="Q234" t="s">
        <v>371</v>
      </c>
      <c r="T234">
        <v>32</v>
      </c>
      <c r="U234">
        <v>0</v>
      </c>
      <c r="V234">
        <v>0</v>
      </c>
      <c r="W234">
        <v>0</v>
      </c>
      <c r="X234">
        <v>0</v>
      </c>
      <c r="Y234" t="s">
        <v>571</v>
      </c>
    </row>
    <row r="235" spans="1:25" x14ac:dyDescent="0.25">
      <c r="A235" s="18"/>
      <c r="J235" s="18"/>
    </row>
    <row r="236" spans="1:25" x14ac:dyDescent="0.25">
      <c r="A236" s="18"/>
      <c r="J236" s="18"/>
    </row>
    <row r="237" spans="1:25" x14ac:dyDescent="0.25">
      <c r="A237" s="18"/>
      <c r="J237" s="18"/>
    </row>
    <row r="238" spans="1:25" x14ac:dyDescent="0.25">
      <c r="A238" s="18"/>
      <c r="J238" s="18"/>
    </row>
    <row r="239" spans="1:25" x14ac:dyDescent="0.25">
      <c r="A239" s="18"/>
      <c r="J239" s="18"/>
    </row>
    <row r="240" spans="1:25" x14ac:dyDescent="0.25">
      <c r="A240" s="18"/>
      <c r="J240" s="18"/>
    </row>
    <row r="241" spans="1:10" x14ac:dyDescent="0.25">
      <c r="A241" s="18"/>
      <c r="J241" s="18"/>
    </row>
    <row r="242" spans="1:10" x14ac:dyDescent="0.25">
      <c r="A242" s="18"/>
      <c r="J242" s="18"/>
    </row>
    <row r="243" spans="1:10" x14ac:dyDescent="0.25">
      <c r="A243" s="18"/>
      <c r="J243" s="18"/>
    </row>
    <row r="244" spans="1:10" x14ac:dyDescent="0.25">
      <c r="A244" s="18"/>
      <c r="J244" s="18"/>
    </row>
    <row r="245" spans="1:10" x14ac:dyDescent="0.25">
      <c r="A245" s="18"/>
      <c r="J245" s="18"/>
    </row>
    <row r="246" spans="1:10" x14ac:dyDescent="0.25">
      <c r="A246" s="18"/>
      <c r="J246" s="18"/>
    </row>
    <row r="247" spans="1:10" x14ac:dyDescent="0.25">
      <c r="A247" s="18"/>
      <c r="J247" s="18"/>
    </row>
    <row r="248" spans="1:10" x14ac:dyDescent="0.25">
      <c r="A248" s="18"/>
      <c r="J248" s="18"/>
    </row>
    <row r="249" spans="1:10" x14ac:dyDescent="0.25">
      <c r="A249" s="18"/>
      <c r="J249" s="18"/>
    </row>
    <row r="250" spans="1:10" x14ac:dyDescent="0.25">
      <c r="A250" s="18"/>
      <c r="J250" s="18"/>
    </row>
    <row r="251" spans="1:10" x14ac:dyDescent="0.25">
      <c r="A251" s="18"/>
      <c r="J251" s="18"/>
    </row>
    <row r="252" spans="1:10" x14ac:dyDescent="0.25">
      <c r="A252" s="18"/>
      <c r="J252" s="18"/>
    </row>
    <row r="253" spans="1:10" x14ac:dyDescent="0.25">
      <c r="A253" s="18"/>
      <c r="J253" s="18"/>
    </row>
    <row r="254" spans="1:10" x14ac:dyDescent="0.25">
      <c r="A254" s="18"/>
      <c r="J254" s="18"/>
    </row>
    <row r="255" spans="1:10" x14ac:dyDescent="0.25">
      <c r="A255" s="18"/>
      <c r="J255" s="18"/>
    </row>
    <row r="256" spans="1:10" x14ac:dyDescent="0.25">
      <c r="A256" s="18"/>
      <c r="J256" s="18"/>
    </row>
    <row r="257" spans="1:10" x14ac:dyDescent="0.25">
      <c r="A257" s="18"/>
      <c r="J257" s="18"/>
    </row>
    <row r="258" spans="1:10" x14ac:dyDescent="0.25">
      <c r="A258" s="18"/>
      <c r="J258" s="18"/>
    </row>
    <row r="259" spans="1:10" x14ac:dyDescent="0.25">
      <c r="A259" s="18"/>
      <c r="J259" s="18"/>
    </row>
    <row r="260" spans="1:10" x14ac:dyDescent="0.25">
      <c r="A260" s="18"/>
      <c r="J260" s="18"/>
    </row>
    <row r="261" spans="1:10" x14ac:dyDescent="0.25">
      <c r="A261" s="18"/>
      <c r="J261" s="18"/>
    </row>
    <row r="262" spans="1:10" x14ac:dyDescent="0.25">
      <c r="A262" s="18"/>
      <c r="J262" s="18"/>
    </row>
    <row r="263" spans="1:10" x14ac:dyDescent="0.25">
      <c r="A263" s="18"/>
      <c r="J263" s="18"/>
    </row>
    <row r="264" spans="1:10" x14ac:dyDescent="0.25">
      <c r="A264" s="18"/>
      <c r="J264" s="18"/>
    </row>
    <row r="265" spans="1:10" x14ac:dyDescent="0.25">
      <c r="A265" s="18"/>
      <c r="J265" s="18"/>
    </row>
    <row r="266" spans="1:10" x14ac:dyDescent="0.25">
      <c r="A266" s="18"/>
      <c r="J266" s="18"/>
    </row>
    <row r="267" spans="1:10" x14ac:dyDescent="0.25">
      <c r="A267" s="18"/>
      <c r="J267" s="18"/>
    </row>
    <row r="268" spans="1:10" x14ac:dyDescent="0.25">
      <c r="A268" s="18"/>
      <c r="J268" s="18"/>
    </row>
    <row r="269" spans="1:10" x14ac:dyDescent="0.25">
      <c r="A269" s="18"/>
      <c r="J269" s="18"/>
    </row>
    <row r="270" spans="1:10" x14ac:dyDescent="0.25">
      <c r="A270" s="18"/>
      <c r="J270" s="18"/>
    </row>
    <row r="271" spans="1:10" x14ac:dyDescent="0.25">
      <c r="A271" s="18"/>
      <c r="J271" s="18"/>
    </row>
    <row r="272" spans="1:10" x14ac:dyDescent="0.25">
      <c r="A272" s="18"/>
      <c r="J272" s="18"/>
    </row>
    <row r="273" spans="1:10" x14ac:dyDescent="0.25">
      <c r="A273" s="18"/>
      <c r="J273" s="18"/>
    </row>
    <row r="274" spans="1:10" x14ac:dyDescent="0.25">
      <c r="A274" s="18"/>
      <c r="J274" s="18"/>
    </row>
    <row r="275" spans="1:10" x14ac:dyDescent="0.25">
      <c r="A275" s="18"/>
      <c r="J275" s="18"/>
    </row>
    <row r="276" spans="1:10" x14ac:dyDescent="0.25">
      <c r="A276" s="18"/>
      <c r="J276" s="18"/>
    </row>
    <row r="277" spans="1:10" x14ac:dyDescent="0.25">
      <c r="A277" s="18"/>
      <c r="J277" s="18"/>
    </row>
    <row r="278" spans="1:10" x14ac:dyDescent="0.25">
      <c r="A278" s="18"/>
      <c r="J278" s="18"/>
    </row>
    <row r="279" spans="1:10" x14ac:dyDescent="0.25">
      <c r="A279" s="18"/>
      <c r="J279" s="18"/>
    </row>
    <row r="280" spans="1:10" x14ac:dyDescent="0.25">
      <c r="A280" s="18"/>
      <c r="J280" s="18"/>
    </row>
    <row r="281" spans="1:10" x14ac:dyDescent="0.25">
      <c r="A281" s="18"/>
      <c r="J281" s="18"/>
    </row>
    <row r="282" spans="1:10" x14ac:dyDescent="0.25">
      <c r="A282" s="18"/>
      <c r="J282" s="18"/>
    </row>
    <row r="283" spans="1:10" x14ac:dyDescent="0.25">
      <c r="A283" s="18"/>
      <c r="J283" s="18"/>
    </row>
    <row r="284" spans="1:10" x14ac:dyDescent="0.25">
      <c r="A284" s="18"/>
      <c r="J284" s="18"/>
    </row>
    <row r="285" spans="1:10" x14ac:dyDescent="0.25">
      <c r="A285" s="18"/>
      <c r="J285" s="18"/>
    </row>
    <row r="286" spans="1:10" x14ac:dyDescent="0.25">
      <c r="A286" s="18"/>
      <c r="J286" s="18"/>
    </row>
    <row r="287" spans="1:10" x14ac:dyDescent="0.25">
      <c r="A287" s="18"/>
      <c r="J287" s="18"/>
    </row>
    <row r="288" spans="1:10" x14ac:dyDescent="0.25">
      <c r="A288" s="18"/>
      <c r="J288" s="18"/>
    </row>
    <row r="289" spans="1:10" x14ac:dyDescent="0.25">
      <c r="A289" s="18"/>
      <c r="J289" s="18"/>
    </row>
    <row r="290" spans="1:10" x14ac:dyDescent="0.25">
      <c r="A290" s="18"/>
      <c r="J290" s="18"/>
    </row>
    <row r="291" spans="1:10" x14ac:dyDescent="0.25">
      <c r="A291" s="18"/>
      <c r="J291" s="18"/>
    </row>
    <row r="292" spans="1:10" x14ac:dyDescent="0.25">
      <c r="A292" s="18"/>
      <c r="J292" s="18"/>
    </row>
    <row r="293" spans="1:10" x14ac:dyDescent="0.25">
      <c r="A293" s="18"/>
      <c r="J293" s="18"/>
    </row>
    <row r="294" spans="1:10" x14ac:dyDescent="0.25">
      <c r="A294" s="18"/>
      <c r="J294" s="18"/>
    </row>
    <row r="295" spans="1:10" x14ac:dyDescent="0.25">
      <c r="A295" s="18"/>
      <c r="J295" s="18"/>
    </row>
    <row r="296" spans="1:10" x14ac:dyDescent="0.25">
      <c r="A296" s="18"/>
      <c r="J296" s="18"/>
    </row>
    <row r="297" spans="1:10" x14ac:dyDescent="0.25">
      <c r="A297" s="18"/>
      <c r="J297" s="18"/>
    </row>
    <row r="298" spans="1:10" x14ac:dyDescent="0.25">
      <c r="A298" s="18"/>
      <c r="J298" s="18"/>
    </row>
    <row r="299" spans="1:10" x14ac:dyDescent="0.25">
      <c r="A299" s="18"/>
      <c r="J299" s="18"/>
    </row>
    <row r="300" spans="1:10" x14ac:dyDescent="0.25">
      <c r="A300" s="18"/>
      <c r="J300" s="18"/>
    </row>
    <row r="301" spans="1:10" x14ac:dyDescent="0.25">
      <c r="A301" s="18"/>
      <c r="J301" s="18"/>
    </row>
    <row r="302" spans="1:10" x14ac:dyDescent="0.25">
      <c r="A302" s="18"/>
      <c r="J302" s="18"/>
    </row>
    <row r="303" spans="1:10" x14ac:dyDescent="0.25">
      <c r="A303" s="18"/>
      <c r="J303" s="18"/>
    </row>
    <row r="304" spans="1:10" x14ac:dyDescent="0.25">
      <c r="A304" s="18"/>
      <c r="J304" s="18"/>
    </row>
    <row r="305" spans="1:10" x14ac:dyDescent="0.25">
      <c r="A305" s="18"/>
      <c r="J305" s="18"/>
    </row>
    <row r="306" spans="1:10" x14ac:dyDescent="0.25">
      <c r="A306" s="18"/>
      <c r="J306" s="18"/>
    </row>
    <row r="307" spans="1:10" x14ac:dyDescent="0.25">
      <c r="A307" s="18"/>
      <c r="J307" s="18"/>
    </row>
    <row r="308" spans="1:10" x14ac:dyDescent="0.25">
      <c r="A308" s="18"/>
      <c r="J308" s="18"/>
    </row>
    <row r="309" spans="1:10" x14ac:dyDescent="0.25">
      <c r="A309" s="18"/>
      <c r="J309" s="18"/>
    </row>
    <row r="310" spans="1:10" x14ac:dyDescent="0.25">
      <c r="A310" s="18"/>
      <c r="J310" s="18"/>
    </row>
    <row r="311" spans="1:10" x14ac:dyDescent="0.25">
      <c r="A311" s="18"/>
      <c r="J311" s="18"/>
    </row>
    <row r="312" spans="1:10" x14ac:dyDescent="0.25">
      <c r="A312" s="18"/>
      <c r="J312" s="18"/>
    </row>
    <row r="313" spans="1:10" x14ac:dyDescent="0.25">
      <c r="A313" s="18"/>
      <c r="J313" s="18"/>
    </row>
    <row r="314" spans="1:10" x14ac:dyDescent="0.25">
      <c r="A314" s="18"/>
      <c r="J314" s="18"/>
    </row>
    <row r="315" spans="1:10" x14ac:dyDescent="0.25">
      <c r="A315" s="18"/>
      <c r="J315" s="18"/>
    </row>
    <row r="316" spans="1:10" x14ac:dyDescent="0.25">
      <c r="A316" s="18"/>
      <c r="J316" s="18"/>
    </row>
    <row r="317" spans="1:10" x14ac:dyDescent="0.25">
      <c r="A317" s="18"/>
      <c r="J317" s="18"/>
    </row>
    <row r="318" spans="1:10" x14ac:dyDescent="0.25">
      <c r="A318" s="18"/>
      <c r="J318" s="18"/>
    </row>
    <row r="319" spans="1:10" x14ac:dyDescent="0.25">
      <c r="A319" s="18"/>
      <c r="J319" s="18"/>
    </row>
    <row r="320" spans="1:10" x14ac:dyDescent="0.25">
      <c r="A320" s="18"/>
      <c r="J320" s="18"/>
    </row>
    <row r="321" spans="1:10" x14ac:dyDescent="0.25">
      <c r="A321" s="18"/>
      <c r="J321" s="18"/>
    </row>
    <row r="322" spans="1:10" x14ac:dyDescent="0.25">
      <c r="A322" s="18"/>
      <c r="J322" s="18"/>
    </row>
    <row r="323" spans="1:10" x14ac:dyDescent="0.25">
      <c r="A323" s="18"/>
      <c r="J323" s="18"/>
    </row>
    <row r="324" spans="1:10" x14ac:dyDescent="0.25">
      <c r="A324" s="18"/>
      <c r="J324" s="18"/>
    </row>
    <row r="325" spans="1:10" x14ac:dyDescent="0.25">
      <c r="A325" s="18"/>
      <c r="J325" s="18"/>
    </row>
    <row r="326" spans="1:10" x14ac:dyDescent="0.25">
      <c r="A326" s="18"/>
      <c r="J326" s="18"/>
    </row>
    <row r="327" spans="1:10" x14ac:dyDescent="0.25">
      <c r="A327" s="18"/>
      <c r="J327" s="18"/>
    </row>
    <row r="328" spans="1:10" x14ac:dyDescent="0.25">
      <c r="A328" s="18"/>
      <c r="J328" s="18"/>
    </row>
    <row r="329" spans="1:10" x14ac:dyDescent="0.25">
      <c r="A329" s="18"/>
      <c r="J329" s="18"/>
    </row>
    <row r="330" spans="1:10" x14ac:dyDescent="0.25">
      <c r="A330" s="18"/>
      <c r="J330" s="18"/>
    </row>
    <row r="331" spans="1:10" x14ac:dyDescent="0.25">
      <c r="A331" s="18"/>
      <c r="J331" s="18"/>
    </row>
    <row r="332" spans="1:10" x14ac:dyDescent="0.25">
      <c r="A332" s="18"/>
      <c r="J332" s="18"/>
    </row>
    <row r="333" spans="1:10" x14ac:dyDescent="0.25">
      <c r="A333" s="18"/>
      <c r="J333" s="18"/>
    </row>
    <row r="334" spans="1:10" x14ac:dyDescent="0.25">
      <c r="A334" s="18"/>
      <c r="J334" s="18"/>
    </row>
    <row r="335" spans="1:10" x14ac:dyDescent="0.25">
      <c r="A335" s="18"/>
      <c r="J335" s="18"/>
    </row>
    <row r="336" spans="1:10" x14ac:dyDescent="0.25">
      <c r="A336" s="18"/>
      <c r="J336" s="18"/>
    </row>
    <row r="337" spans="1:10" x14ac:dyDescent="0.25">
      <c r="A337" s="18"/>
      <c r="J337" s="18"/>
    </row>
    <row r="338" spans="1:10" x14ac:dyDescent="0.25">
      <c r="A338" s="18"/>
      <c r="J338" s="18"/>
    </row>
    <row r="339" spans="1:10" x14ac:dyDescent="0.25">
      <c r="A339" s="18"/>
      <c r="J339" s="18"/>
    </row>
    <row r="340" spans="1:10" x14ac:dyDescent="0.25">
      <c r="A340" s="18"/>
      <c r="J340" s="18"/>
    </row>
    <row r="341" spans="1:10" x14ac:dyDescent="0.25">
      <c r="A341" s="18"/>
      <c r="J341" s="18"/>
    </row>
    <row r="342" spans="1:10" x14ac:dyDescent="0.25">
      <c r="A342" s="18"/>
      <c r="J342" s="18"/>
    </row>
    <row r="343" spans="1:10" x14ac:dyDescent="0.25">
      <c r="A343" s="18"/>
      <c r="J343" s="18"/>
    </row>
    <row r="344" spans="1:10" x14ac:dyDescent="0.25">
      <c r="A344" s="18"/>
      <c r="J344" s="18"/>
    </row>
    <row r="345" spans="1:10" x14ac:dyDescent="0.25">
      <c r="A345" s="18"/>
      <c r="J345" s="18"/>
    </row>
    <row r="346" spans="1:10" x14ac:dyDescent="0.25">
      <c r="A346" s="18"/>
      <c r="J346" s="18"/>
    </row>
    <row r="347" spans="1:10" x14ac:dyDescent="0.25">
      <c r="A347" s="18"/>
      <c r="J347" s="18"/>
    </row>
    <row r="348" spans="1:10" x14ac:dyDescent="0.25">
      <c r="A348" s="18"/>
      <c r="J348" s="18"/>
    </row>
    <row r="349" spans="1:10" x14ac:dyDescent="0.25">
      <c r="A349" s="18"/>
      <c r="J349" s="18"/>
    </row>
    <row r="350" spans="1:10" x14ac:dyDescent="0.25">
      <c r="A350" s="18"/>
      <c r="J350" s="18"/>
    </row>
    <row r="351" spans="1:10" x14ac:dyDescent="0.25">
      <c r="A351" s="18"/>
      <c r="J351" s="18"/>
    </row>
    <row r="352" spans="1:10" x14ac:dyDescent="0.25">
      <c r="A352" s="18"/>
      <c r="J352" s="18"/>
    </row>
    <row r="353" spans="1:10" x14ac:dyDescent="0.25">
      <c r="A353" s="18"/>
      <c r="J353" s="18"/>
    </row>
    <row r="354" spans="1:10" x14ac:dyDescent="0.25">
      <c r="A354" s="18"/>
      <c r="J354" s="18"/>
    </row>
    <row r="355" spans="1:10" x14ac:dyDescent="0.25">
      <c r="A355" s="18"/>
      <c r="J355" s="18"/>
    </row>
    <row r="356" spans="1:10" x14ac:dyDescent="0.25">
      <c r="A356" s="18"/>
      <c r="J356" s="18"/>
    </row>
    <row r="357" spans="1:10" x14ac:dyDescent="0.25">
      <c r="A357" s="18"/>
      <c r="J357" s="18"/>
    </row>
    <row r="358" spans="1:10" x14ac:dyDescent="0.25">
      <c r="A358" s="18"/>
      <c r="J358" s="18"/>
    </row>
    <row r="359" spans="1:10" x14ac:dyDescent="0.25">
      <c r="A359" s="18"/>
      <c r="J359" s="18"/>
    </row>
    <row r="360" spans="1:10" x14ac:dyDescent="0.25">
      <c r="A360" s="18"/>
      <c r="J360" s="18"/>
    </row>
    <row r="361" spans="1:10" x14ac:dyDescent="0.25">
      <c r="A361" s="18"/>
      <c r="J361" s="18"/>
    </row>
    <row r="362" spans="1:10" x14ac:dyDescent="0.25">
      <c r="A362" s="18"/>
      <c r="J362" s="18"/>
    </row>
    <row r="363" spans="1:10" x14ac:dyDescent="0.25">
      <c r="A363" s="18"/>
      <c r="J363" s="18"/>
    </row>
    <row r="364" spans="1:10" x14ac:dyDescent="0.25">
      <c r="A364" s="18"/>
      <c r="J364" s="18"/>
    </row>
    <row r="365" spans="1:10" x14ac:dyDescent="0.25">
      <c r="A365" s="18"/>
      <c r="J365" s="18"/>
    </row>
    <row r="366" spans="1:10" x14ac:dyDescent="0.25">
      <c r="A366" s="18"/>
      <c r="J366" s="18"/>
    </row>
    <row r="367" spans="1:10" x14ac:dyDescent="0.25">
      <c r="A367" s="18"/>
      <c r="J367" s="18"/>
    </row>
    <row r="368" spans="1:10" x14ac:dyDescent="0.25">
      <c r="A368" s="18"/>
      <c r="J368" s="18"/>
    </row>
    <row r="369" spans="1:10" x14ac:dyDescent="0.25">
      <c r="A369" s="18"/>
      <c r="J369" s="18"/>
    </row>
    <row r="370" spans="1:10" x14ac:dyDescent="0.25">
      <c r="A370" s="18"/>
      <c r="J370" s="18"/>
    </row>
    <row r="371" spans="1:10" x14ac:dyDescent="0.25">
      <c r="A371" s="18"/>
      <c r="J371" s="18"/>
    </row>
    <row r="372" spans="1:10" x14ac:dyDescent="0.25">
      <c r="A372" s="18"/>
      <c r="J372" s="18"/>
    </row>
    <row r="373" spans="1:10" x14ac:dyDescent="0.25">
      <c r="A373" s="18"/>
      <c r="J373" s="18"/>
    </row>
    <row r="374" spans="1:10" x14ac:dyDescent="0.25">
      <c r="A374" s="18"/>
      <c r="J374" s="18"/>
    </row>
    <row r="375" spans="1:10" x14ac:dyDescent="0.25">
      <c r="A375" s="18"/>
      <c r="J375" s="18"/>
    </row>
    <row r="376" spans="1:10" x14ac:dyDescent="0.25">
      <c r="A376" s="18"/>
      <c r="J376" s="18"/>
    </row>
    <row r="377" spans="1:10" x14ac:dyDescent="0.25">
      <c r="A377" s="18"/>
      <c r="J377" s="18"/>
    </row>
    <row r="378" spans="1:10" x14ac:dyDescent="0.25">
      <c r="A378" s="18"/>
      <c r="J378" s="18"/>
    </row>
    <row r="379" spans="1:10" x14ac:dyDescent="0.25">
      <c r="A379" s="18"/>
      <c r="J379" s="18"/>
    </row>
    <row r="380" spans="1:10" x14ac:dyDescent="0.25">
      <c r="A380" s="18"/>
      <c r="J380" s="18"/>
    </row>
    <row r="381" spans="1:10" x14ac:dyDescent="0.25">
      <c r="A381" s="18"/>
      <c r="J381" s="18"/>
    </row>
    <row r="382" spans="1:10" x14ac:dyDescent="0.25">
      <c r="A382" s="18"/>
      <c r="J382" s="18"/>
    </row>
    <row r="383" spans="1:10" x14ac:dyDescent="0.25">
      <c r="A383" s="18"/>
      <c r="J383" s="18"/>
    </row>
    <row r="384" spans="1:10" x14ac:dyDescent="0.25">
      <c r="A384" s="18"/>
      <c r="J384" s="18"/>
    </row>
    <row r="385" spans="1:10" x14ac:dyDescent="0.25">
      <c r="A385" s="18"/>
      <c r="J385" s="18"/>
    </row>
    <row r="386" spans="1:10" x14ac:dyDescent="0.25">
      <c r="A386" s="18"/>
      <c r="J386" s="18"/>
    </row>
    <row r="387" spans="1:10" x14ac:dyDescent="0.25">
      <c r="A387" s="18"/>
      <c r="J387" s="18"/>
    </row>
    <row r="388" spans="1:10" x14ac:dyDescent="0.25">
      <c r="A388" s="18"/>
      <c r="J388" s="18"/>
    </row>
    <row r="389" spans="1:10" x14ac:dyDescent="0.25">
      <c r="A389" s="18"/>
      <c r="J389" s="18"/>
    </row>
    <row r="390" spans="1:10" x14ac:dyDescent="0.25">
      <c r="A390" s="18"/>
      <c r="J390" s="18"/>
    </row>
    <row r="391" spans="1:10" x14ac:dyDescent="0.25">
      <c r="A391" s="18"/>
      <c r="J391" s="18"/>
    </row>
    <row r="392" spans="1:10" x14ac:dyDescent="0.25">
      <c r="A392" s="18"/>
      <c r="J392" s="18"/>
    </row>
    <row r="393" spans="1:10" x14ac:dyDescent="0.25">
      <c r="A393" s="18"/>
      <c r="J393" s="18"/>
    </row>
    <row r="394" spans="1:10" x14ac:dyDescent="0.25">
      <c r="A394" s="18"/>
      <c r="J394" s="18"/>
    </row>
    <row r="395" spans="1:10" x14ac:dyDescent="0.25">
      <c r="A395" s="18"/>
      <c r="J395" s="18"/>
    </row>
    <row r="396" spans="1:10" x14ac:dyDescent="0.25">
      <c r="A396" s="18"/>
      <c r="J396" s="18"/>
    </row>
    <row r="397" spans="1:10" x14ac:dyDescent="0.25">
      <c r="A397" s="18"/>
      <c r="J397" s="18"/>
    </row>
    <row r="398" spans="1:10" x14ac:dyDescent="0.25">
      <c r="A398" s="18"/>
      <c r="J398" s="18"/>
    </row>
    <row r="399" spans="1:10" x14ac:dyDescent="0.25">
      <c r="A399" s="18"/>
      <c r="J399" s="18"/>
    </row>
    <row r="400" spans="1:10" x14ac:dyDescent="0.25">
      <c r="A400" s="18"/>
      <c r="J400" s="18"/>
    </row>
    <row r="401" spans="1:10" x14ac:dyDescent="0.25">
      <c r="A401" s="18"/>
      <c r="J401" s="18"/>
    </row>
    <row r="402" spans="1:10" x14ac:dyDescent="0.25">
      <c r="A402" s="18"/>
      <c r="J402" s="18"/>
    </row>
    <row r="403" spans="1:10" x14ac:dyDescent="0.25">
      <c r="A403" s="18"/>
      <c r="J403" s="18"/>
    </row>
    <row r="404" spans="1:10" x14ac:dyDescent="0.25">
      <c r="A404" s="18"/>
      <c r="J404" s="18"/>
    </row>
    <row r="405" spans="1:10" x14ac:dyDescent="0.25">
      <c r="A405" s="18"/>
      <c r="J405" s="18"/>
    </row>
    <row r="406" spans="1:10" x14ac:dyDescent="0.25">
      <c r="A406" s="18"/>
      <c r="J406" s="18"/>
    </row>
    <row r="407" spans="1:10" x14ac:dyDescent="0.25">
      <c r="A407" s="18"/>
      <c r="J407" s="18"/>
    </row>
    <row r="408" spans="1:10" x14ac:dyDescent="0.25">
      <c r="A408" s="18"/>
      <c r="J408" s="18"/>
    </row>
    <row r="409" spans="1:10" x14ac:dyDescent="0.25">
      <c r="A409" s="18"/>
      <c r="J409" s="18"/>
    </row>
    <row r="410" spans="1:10" x14ac:dyDescent="0.25">
      <c r="A410" s="18"/>
      <c r="J410" s="18"/>
    </row>
    <row r="411" spans="1:10" x14ac:dyDescent="0.25">
      <c r="A411" s="18"/>
      <c r="J411" s="18"/>
    </row>
    <row r="412" spans="1:10" x14ac:dyDescent="0.25">
      <c r="A412" s="18"/>
      <c r="J412" s="18"/>
    </row>
    <row r="413" spans="1:10" x14ac:dyDescent="0.25">
      <c r="A413" s="18"/>
      <c r="J413" s="18"/>
    </row>
    <row r="414" spans="1:10" x14ac:dyDescent="0.25">
      <c r="A414" s="18"/>
      <c r="J414" s="18"/>
    </row>
    <row r="415" spans="1:10" x14ac:dyDescent="0.25">
      <c r="A415" s="18"/>
      <c r="J415" s="18"/>
    </row>
    <row r="416" spans="1:10" x14ac:dyDescent="0.25">
      <c r="A416" s="18"/>
      <c r="J416" s="18"/>
    </row>
    <row r="417" spans="1:10" x14ac:dyDescent="0.25">
      <c r="A417" s="18"/>
      <c r="J417" s="18"/>
    </row>
    <row r="418" spans="1:10" x14ac:dyDescent="0.25">
      <c r="A418" s="18"/>
      <c r="J418" s="18"/>
    </row>
    <row r="419" spans="1:10" x14ac:dyDescent="0.25">
      <c r="A419" s="18"/>
      <c r="J419" s="18"/>
    </row>
    <row r="420" spans="1:10" x14ac:dyDescent="0.25">
      <c r="A420" s="18"/>
      <c r="J420" s="18"/>
    </row>
    <row r="421" spans="1:10" x14ac:dyDescent="0.25">
      <c r="A421" s="18"/>
      <c r="J421" s="18"/>
    </row>
    <row r="422" spans="1:10" x14ac:dyDescent="0.25">
      <c r="A422" s="18"/>
      <c r="J422" s="18"/>
    </row>
    <row r="423" spans="1:10" x14ac:dyDescent="0.25">
      <c r="A423" s="18"/>
      <c r="J423" s="18"/>
    </row>
    <row r="424" spans="1:10" x14ac:dyDescent="0.25">
      <c r="A424" s="18"/>
      <c r="J424" s="18"/>
    </row>
    <row r="425" spans="1:10" x14ac:dyDescent="0.25">
      <c r="A425" s="18"/>
      <c r="J425" s="18"/>
    </row>
    <row r="426" spans="1:10" x14ac:dyDescent="0.25">
      <c r="A426" s="18"/>
      <c r="J426" s="18"/>
    </row>
    <row r="427" spans="1:10" x14ac:dyDescent="0.25">
      <c r="A427" s="18"/>
      <c r="J427" s="18"/>
    </row>
    <row r="428" spans="1:10" x14ac:dyDescent="0.25">
      <c r="A428" s="18"/>
      <c r="J428" s="18"/>
    </row>
    <row r="429" spans="1:10" x14ac:dyDescent="0.25">
      <c r="A429" s="18"/>
      <c r="J429" s="18"/>
    </row>
    <row r="430" spans="1:10" x14ac:dyDescent="0.25">
      <c r="A430" s="18"/>
      <c r="J430" s="18"/>
    </row>
    <row r="431" spans="1:10" x14ac:dyDescent="0.25">
      <c r="A431" s="18"/>
      <c r="J431" s="18"/>
    </row>
    <row r="432" spans="1:10" x14ac:dyDescent="0.25">
      <c r="A432" s="18"/>
      <c r="J432" s="18"/>
    </row>
    <row r="433" spans="1:10" x14ac:dyDescent="0.25">
      <c r="A433" s="18"/>
      <c r="J433" s="18"/>
    </row>
    <row r="434" spans="1:10" x14ac:dyDescent="0.25">
      <c r="A434" s="18"/>
      <c r="J434" s="18"/>
    </row>
    <row r="435" spans="1:10" x14ac:dyDescent="0.25">
      <c r="A435" s="18"/>
      <c r="J435" s="18"/>
    </row>
    <row r="436" spans="1:10" x14ac:dyDescent="0.25">
      <c r="A436" s="18"/>
      <c r="J436" s="18"/>
    </row>
    <row r="437" spans="1:10" x14ac:dyDescent="0.25">
      <c r="A437" s="18"/>
      <c r="J437" s="18"/>
    </row>
    <row r="438" spans="1:10" x14ac:dyDescent="0.25">
      <c r="A438" s="18"/>
      <c r="J438" s="18"/>
    </row>
    <row r="439" spans="1:10" x14ac:dyDescent="0.25">
      <c r="A439" s="18"/>
      <c r="J439" s="18"/>
    </row>
    <row r="440" spans="1:10" x14ac:dyDescent="0.25">
      <c r="A440" s="18"/>
      <c r="J440" s="18"/>
    </row>
    <row r="441" spans="1:10" x14ac:dyDescent="0.25">
      <c r="A441" s="18"/>
      <c r="J441" s="18"/>
    </row>
    <row r="442" spans="1:10" x14ac:dyDescent="0.25">
      <c r="A442" s="18"/>
      <c r="J442" s="18"/>
    </row>
    <row r="443" spans="1:10" x14ac:dyDescent="0.25">
      <c r="A443" s="18"/>
      <c r="J443" s="18"/>
    </row>
    <row r="444" spans="1:10" x14ac:dyDescent="0.25">
      <c r="A444" s="18"/>
      <c r="J444" s="18"/>
    </row>
    <row r="445" spans="1:10" x14ac:dyDescent="0.25">
      <c r="A445" s="18"/>
      <c r="J445" s="18"/>
    </row>
    <row r="446" spans="1:10" x14ac:dyDescent="0.25">
      <c r="A446" s="18"/>
      <c r="J446" s="18"/>
    </row>
    <row r="447" spans="1:10" x14ac:dyDescent="0.25">
      <c r="A447" s="18"/>
      <c r="J447" s="18"/>
    </row>
    <row r="448" spans="1:10" x14ac:dyDescent="0.25">
      <c r="A448" s="18"/>
      <c r="J448" s="18"/>
    </row>
    <row r="449" spans="1:10" x14ac:dyDescent="0.25">
      <c r="A449" s="18"/>
      <c r="J449" s="18"/>
    </row>
    <row r="450" spans="1:10" x14ac:dyDescent="0.25">
      <c r="A450" s="18"/>
      <c r="J450" s="18"/>
    </row>
    <row r="451" spans="1:10" x14ac:dyDescent="0.25">
      <c r="A451" s="18"/>
      <c r="J451" s="18"/>
    </row>
    <row r="452" spans="1:10" x14ac:dyDescent="0.25">
      <c r="A452" s="18"/>
      <c r="J452" s="18"/>
    </row>
    <row r="453" spans="1:10" x14ac:dyDescent="0.25">
      <c r="A453" s="18"/>
      <c r="J453" s="18"/>
    </row>
    <row r="454" spans="1:10" x14ac:dyDescent="0.25">
      <c r="A454" s="18"/>
      <c r="J454" s="18"/>
    </row>
    <row r="455" spans="1:10" x14ac:dyDescent="0.25">
      <c r="A455" s="18"/>
      <c r="J455" s="18"/>
    </row>
    <row r="456" spans="1:10" x14ac:dyDescent="0.25">
      <c r="A456" s="18"/>
      <c r="J456" s="18"/>
    </row>
    <row r="457" spans="1:10" x14ac:dyDescent="0.25">
      <c r="A457" s="18"/>
      <c r="J457" s="18"/>
    </row>
    <row r="458" spans="1:10" x14ac:dyDescent="0.25">
      <c r="A458" s="18"/>
      <c r="J458" s="18"/>
    </row>
    <row r="459" spans="1:10" x14ac:dyDescent="0.25">
      <c r="A459" s="18"/>
      <c r="J459" s="18"/>
    </row>
    <row r="460" spans="1:10" x14ac:dyDescent="0.25">
      <c r="A460" s="18"/>
      <c r="J460" s="18"/>
    </row>
    <row r="461" spans="1:10" x14ac:dyDescent="0.25">
      <c r="A461" s="18"/>
      <c r="J461" s="18"/>
    </row>
    <row r="462" spans="1:10" x14ac:dyDescent="0.25">
      <c r="A462" s="18"/>
      <c r="J462" s="18"/>
    </row>
    <row r="463" spans="1:10" x14ac:dyDescent="0.25">
      <c r="A463" s="18"/>
      <c r="J463" s="18"/>
    </row>
    <row r="464" spans="1:10" x14ac:dyDescent="0.25">
      <c r="A464" s="18"/>
      <c r="J464" s="18"/>
    </row>
    <row r="465" spans="1:10" x14ac:dyDescent="0.25">
      <c r="A465" s="18"/>
      <c r="J465" s="18"/>
    </row>
    <row r="466" spans="1:10" x14ac:dyDescent="0.25">
      <c r="A466" s="18"/>
      <c r="J466" s="18"/>
    </row>
    <row r="467" spans="1:10" x14ac:dyDescent="0.25">
      <c r="A467" s="18"/>
      <c r="J467" s="18"/>
    </row>
    <row r="468" spans="1:10" x14ac:dyDescent="0.25">
      <c r="A468" s="18"/>
      <c r="J468" s="18"/>
    </row>
    <row r="469" spans="1:10" x14ac:dyDescent="0.25">
      <c r="A469" s="18"/>
      <c r="J469" s="18"/>
    </row>
    <row r="470" spans="1:10" x14ac:dyDescent="0.25">
      <c r="A470" s="18"/>
      <c r="J470" s="18"/>
    </row>
    <row r="471" spans="1:10" x14ac:dyDescent="0.25">
      <c r="A471" s="18"/>
      <c r="J471" s="18"/>
    </row>
    <row r="472" spans="1:10" x14ac:dyDescent="0.25">
      <c r="A472" s="18"/>
      <c r="J472" s="18"/>
    </row>
    <row r="473" spans="1:10" x14ac:dyDescent="0.25">
      <c r="A473" s="18"/>
      <c r="J473" s="18"/>
    </row>
    <row r="474" spans="1:10" x14ac:dyDescent="0.25">
      <c r="A474" s="18"/>
      <c r="J474" s="18"/>
    </row>
    <row r="475" spans="1:10" x14ac:dyDescent="0.25">
      <c r="A475" s="18"/>
      <c r="J475" s="18"/>
    </row>
    <row r="476" spans="1:10" x14ac:dyDescent="0.25">
      <c r="A476" s="18"/>
      <c r="J476" s="18"/>
    </row>
    <row r="477" spans="1:10" x14ac:dyDescent="0.25">
      <c r="A477" s="18"/>
      <c r="J477" s="18"/>
    </row>
    <row r="478" spans="1:10" x14ac:dyDescent="0.25">
      <c r="A478" s="18"/>
      <c r="J478" s="18"/>
    </row>
    <row r="479" spans="1:10" x14ac:dyDescent="0.25">
      <c r="A479" s="18"/>
      <c r="J479" s="18"/>
    </row>
    <row r="480" spans="1:10" x14ac:dyDescent="0.25">
      <c r="A480" s="18"/>
      <c r="J480" s="18"/>
    </row>
    <row r="481" spans="1:10" x14ac:dyDescent="0.25">
      <c r="A481" s="18"/>
      <c r="J481" s="18"/>
    </row>
    <row r="482" spans="1:10" x14ac:dyDescent="0.25">
      <c r="A482" s="18"/>
      <c r="J482" s="18"/>
    </row>
    <row r="483" spans="1:10" x14ac:dyDescent="0.25">
      <c r="A483" s="18"/>
      <c r="J483" s="18"/>
    </row>
    <row r="484" spans="1:10" x14ac:dyDescent="0.25">
      <c r="A484" s="18"/>
      <c r="J484" s="18"/>
    </row>
    <row r="485" spans="1:10" x14ac:dyDescent="0.25">
      <c r="A485" s="18"/>
      <c r="J485" s="18"/>
    </row>
    <row r="486" spans="1:10" x14ac:dyDescent="0.25">
      <c r="A486" s="18"/>
      <c r="J486" s="18"/>
    </row>
    <row r="487" spans="1:10" x14ac:dyDescent="0.25">
      <c r="A487" s="18"/>
      <c r="J487" s="18"/>
    </row>
    <row r="488" spans="1:10" x14ac:dyDescent="0.25">
      <c r="A488" s="18"/>
      <c r="J488" s="18"/>
    </row>
    <row r="489" spans="1:10" x14ac:dyDescent="0.25">
      <c r="A489" s="18"/>
      <c r="J489" s="18"/>
    </row>
    <row r="490" spans="1:10" x14ac:dyDescent="0.25">
      <c r="A490" s="18"/>
      <c r="J490" s="18"/>
    </row>
    <row r="491" spans="1:10" x14ac:dyDescent="0.25">
      <c r="A491" s="18"/>
      <c r="J491" s="18"/>
    </row>
    <row r="492" spans="1:10" x14ac:dyDescent="0.25">
      <c r="A492" s="18"/>
      <c r="J492" s="18"/>
    </row>
    <row r="493" spans="1:10" x14ac:dyDescent="0.25">
      <c r="A493" s="18"/>
      <c r="J493" s="18"/>
    </row>
    <row r="494" spans="1:10" x14ac:dyDescent="0.25">
      <c r="A494" s="18"/>
      <c r="J494" s="18"/>
    </row>
    <row r="495" spans="1:10" x14ac:dyDescent="0.25">
      <c r="A495" s="18"/>
      <c r="J495" s="18"/>
    </row>
    <row r="496" spans="1:10" x14ac:dyDescent="0.25">
      <c r="A496" s="18"/>
      <c r="J496" s="18"/>
    </row>
    <row r="497" spans="1:10" x14ac:dyDescent="0.25">
      <c r="A497" s="18"/>
      <c r="J497" s="18"/>
    </row>
    <row r="498" spans="1:10" x14ac:dyDescent="0.25">
      <c r="A498" s="18"/>
      <c r="J498" s="18"/>
    </row>
    <row r="499" spans="1:10" x14ac:dyDescent="0.25">
      <c r="A499" s="18"/>
      <c r="J499" s="18"/>
    </row>
    <row r="500" spans="1:10" x14ac:dyDescent="0.25">
      <c r="A500" s="18"/>
      <c r="J500" s="18"/>
    </row>
    <row r="501" spans="1:10" x14ac:dyDescent="0.25">
      <c r="A501" s="18"/>
      <c r="J501" s="18"/>
    </row>
    <row r="502" spans="1:10" x14ac:dyDescent="0.25">
      <c r="A502" s="18"/>
      <c r="J502" s="18"/>
    </row>
    <row r="503" spans="1:10" x14ac:dyDescent="0.25">
      <c r="A503" s="18"/>
      <c r="J503" s="18"/>
    </row>
    <row r="504" spans="1:10" x14ac:dyDescent="0.25">
      <c r="A504" s="18"/>
      <c r="J504" s="18"/>
    </row>
    <row r="505" spans="1:10" x14ac:dyDescent="0.25">
      <c r="A505" s="18"/>
      <c r="J505" s="18"/>
    </row>
    <row r="506" spans="1:10" x14ac:dyDescent="0.25">
      <c r="A506" s="18"/>
      <c r="J506" s="18"/>
    </row>
    <row r="507" spans="1:10" x14ac:dyDescent="0.25">
      <c r="A507" s="18"/>
      <c r="J507" s="18"/>
    </row>
    <row r="508" spans="1:10" x14ac:dyDescent="0.25">
      <c r="A508" s="18"/>
      <c r="J508" s="18"/>
    </row>
    <row r="509" spans="1:10" x14ac:dyDescent="0.25">
      <c r="A509" s="18"/>
      <c r="J509" s="18"/>
    </row>
    <row r="510" spans="1:10" x14ac:dyDescent="0.25">
      <c r="A510" s="18"/>
      <c r="J510" s="18"/>
    </row>
    <row r="511" spans="1:10" x14ac:dyDescent="0.25">
      <c r="A511" s="18"/>
      <c r="J511" s="18"/>
    </row>
    <row r="512" spans="1:10" x14ac:dyDescent="0.25">
      <c r="A512" s="18"/>
      <c r="J512" s="18"/>
    </row>
    <row r="513" spans="1:10" x14ac:dyDescent="0.25">
      <c r="A513" s="18"/>
      <c r="J513" s="18"/>
    </row>
    <row r="514" spans="1:10" x14ac:dyDescent="0.25">
      <c r="A514" s="18"/>
      <c r="J514" s="18"/>
    </row>
    <row r="515" spans="1:10" x14ac:dyDescent="0.25">
      <c r="A515" s="18"/>
      <c r="J515" s="18"/>
    </row>
    <row r="516" spans="1:10" x14ac:dyDescent="0.25">
      <c r="A516" s="18"/>
      <c r="J516" s="18"/>
    </row>
    <row r="517" spans="1:10" x14ac:dyDescent="0.25">
      <c r="A517" s="18"/>
      <c r="J517" s="18"/>
    </row>
    <row r="518" spans="1:10" x14ac:dyDescent="0.25">
      <c r="A518" s="18"/>
      <c r="J518" s="18"/>
    </row>
    <row r="519" spans="1:10" x14ac:dyDescent="0.25">
      <c r="A519" s="18"/>
      <c r="J519" s="18"/>
    </row>
    <row r="520" spans="1:10" x14ac:dyDescent="0.25">
      <c r="A520" s="18"/>
      <c r="J520" s="18"/>
    </row>
    <row r="521" spans="1:10" x14ac:dyDescent="0.25">
      <c r="A521" s="18"/>
      <c r="J521" s="18"/>
    </row>
    <row r="522" spans="1:10" x14ac:dyDescent="0.25">
      <c r="A522" s="18"/>
      <c r="J522" s="18"/>
    </row>
    <row r="523" spans="1:10" x14ac:dyDescent="0.25">
      <c r="A523" s="18"/>
      <c r="J523" s="18"/>
    </row>
    <row r="524" spans="1:10" x14ac:dyDescent="0.25">
      <c r="A524" s="18"/>
      <c r="J524" s="18"/>
    </row>
    <row r="525" spans="1:10" x14ac:dyDescent="0.25">
      <c r="A525" s="18"/>
      <c r="J525" s="18"/>
    </row>
    <row r="526" spans="1:10" x14ac:dyDescent="0.25">
      <c r="A526" s="18"/>
      <c r="J526" s="18"/>
    </row>
    <row r="527" spans="1:10" x14ac:dyDescent="0.25">
      <c r="A527" s="18"/>
      <c r="J527" s="18"/>
    </row>
    <row r="528" spans="1:10" x14ac:dyDescent="0.25">
      <c r="A528" s="18"/>
      <c r="J528" s="18"/>
    </row>
    <row r="529" spans="1:10" x14ac:dyDescent="0.25">
      <c r="A529" s="18"/>
      <c r="J529" s="18"/>
    </row>
    <row r="530" spans="1:10" x14ac:dyDescent="0.25">
      <c r="A530" s="18"/>
      <c r="J530" s="18"/>
    </row>
    <row r="531" spans="1:10" x14ac:dyDescent="0.25">
      <c r="A531" s="18"/>
      <c r="J531" s="18"/>
    </row>
    <row r="532" spans="1:10" x14ac:dyDescent="0.25">
      <c r="A532" s="18"/>
      <c r="J532" s="18"/>
    </row>
    <row r="533" spans="1:10" x14ac:dyDescent="0.25">
      <c r="A533" s="18"/>
      <c r="J533" s="18"/>
    </row>
    <row r="534" spans="1:10" x14ac:dyDescent="0.25">
      <c r="A534" s="18"/>
      <c r="J534" s="18"/>
    </row>
    <row r="535" spans="1:10" x14ac:dyDescent="0.25">
      <c r="A535" s="18"/>
      <c r="J535" s="18"/>
    </row>
    <row r="536" spans="1:10" x14ac:dyDescent="0.25">
      <c r="A536" s="18"/>
      <c r="J536" s="18"/>
    </row>
    <row r="537" spans="1:10" x14ac:dyDescent="0.25">
      <c r="A537" s="18"/>
      <c r="J537" s="18"/>
    </row>
    <row r="538" spans="1:10" x14ac:dyDescent="0.25">
      <c r="A538" s="18"/>
      <c r="J538" s="18"/>
    </row>
    <row r="539" spans="1:10" x14ac:dyDescent="0.25">
      <c r="A539" s="18"/>
      <c r="J539" s="18"/>
    </row>
    <row r="540" spans="1:10" x14ac:dyDescent="0.25">
      <c r="A540" s="18"/>
      <c r="J540" s="18"/>
    </row>
    <row r="541" spans="1:10" x14ac:dyDescent="0.25">
      <c r="A541" s="18"/>
      <c r="J541" s="18"/>
    </row>
    <row r="542" spans="1:10" x14ac:dyDescent="0.25">
      <c r="A542" s="18"/>
      <c r="J542" s="18"/>
    </row>
    <row r="543" spans="1:10" x14ac:dyDescent="0.25">
      <c r="A543" s="18"/>
      <c r="J543" s="18"/>
    </row>
    <row r="544" spans="1:10" x14ac:dyDescent="0.25">
      <c r="A544" s="18"/>
      <c r="J544" s="18"/>
    </row>
    <row r="545" spans="1:10" x14ac:dyDescent="0.25">
      <c r="A545" s="18"/>
      <c r="J545" s="18"/>
    </row>
    <row r="546" spans="1:10" x14ac:dyDescent="0.25">
      <c r="A546" s="18"/>
      <c r="J546" s="18"/>
    </row>
    <row r="547" spans="1:10" x14ac:dyDescent="0.25">
      <c r="A547" s="18"/>
      <c r="J547" s="18"/>
    </row>
    <row r="548" spans="1:10" x14ac:dyDescent="0.25">
      <c r="A548" s="18"/>
      <c r="J548" s="18"/>
    </row>
    <row r="549" spans="1:10" x14ac:dyDescent="0.25">
      <c r="A549" s="18"/>
      <c r="J549" s="18"/>
    </row>
    <row r="550" spans="1:10" x14ac:dyDescent="0.25">
      <c r="A550" s="18"/>
      <c r="J550" s="18"/>
    </row>
    <row r="551" spans="1:10" x14ac:dyDescent="0.25">
      <c r="A551" s="18"/>
      <c r="J551" s="18"/>
    </row>
    <row r="552" spans="1:10" x14ac:dyDescent="0.25">
      <c r="A552" s="18"/>
      <c r="J552" s="18"/>
    </row>
    <row r="553" spans="1:10" x14ac:dyDescent="0.25">
      <c r="A553" s="18"/>
      <c r="J553" s="18"/>
    </row>
    <row r="554" spans="1:10" x14ac:dyDescent="0.25">
      <c r="A554" s="18"/>
      <c r="J554" s="18"/>
    </row>
    <row r="555" spans="1:10" x14ac:dyDescent="0.25">
      <c r="A555" s="18"/>
      <c r="J555" s="18"/>
    </row>
    <row r="556" spans="1:10" x14ac:dyDescent="0.25">
      <c r="A556" s="18"/>
      <c r="J556" s="18"/>
    </row>
    <row r="557" spans="1:10" x14ac:dyDescent="0.25">
      <c r="A557" s="18"/>
      <c r="J557" s="18"/>
    </row>
    <row r="558" spans="1:10" x14ac:dyDescent="0.25">
      <c r="A558" s="18"/>
      <c r="J558" s="18"/>
    </row>
    <row r="559" spans="1:10" x14ac:dyDescent="0.25">
      <c r="A559" s="18"/>
      <c r="J559" s="18"/>
    </row>
    <row r="560" spans="1:10" x14ac:dyDescent="0.25">
      <c r="A560" s="18"/>
      <c r="J560" s="18"/>
    </row>
    <row r="561" spans="1:10" x14ac:dyDescent="0.25">
      <c r="A561" s="18"/>
      <c r="J561" s="18"/>
    </row>
    <row r="562" spans="1:10" x14ac:dyDescent="0.25">
      <c r="A562" s="18"/>
      <c r="J562" s="18"/>
    </row>
    <row r="563" spans="1:10" x14ac:dyDescent="0.25">
      <c r="A563" s="18"/>
      <c r="J563" s="18"/>
    </row>
    <row r="564" spans="1:10" x14ac:dyDescent="0.25">
      <c r="A564" s="18"/>
      <c r="J564" s="18"/>
    </row>
    <row r="565" spans="1:10" x14ac:dyDescent="0.25">
      <c r="A565" s="18"/>
      <c r="J565" s="18"/>
    </row>
    <row r="566" spans="1:10" x14ac:dyDescent="0.25">
      <c r="A566" s="18"/>
      <c r="J566" s="18"/>
    </row>
    <row r="567" spans="1:10" x14ac:dyDescent="0.25">
      <c r="A567" s="18"/>
      <c r="J567" s="18"/>
    </row>
    <row r="568" spans="1:10" x14ac:dyDescent="0.25">
      <c r="A568" s="18"/>
      <c r="J568" s="18"/>
    </row>
    <row r="569" spans="1:10" x14ac:dyDescent="0.25">
      <c r="A569" s="18"/>
      <c r="J569" s="18"/>
    </row>
    <row r="570" spans="1:10" x14ac:dyDescent="0.25">
      <c r="A570" s="18"/>
      <c r="J570" s="18"/>
    </row>
    <row r="571" spans="1:10" x14ac:dyDescent="0.25">
      <c r="A571" s="18"/>
      <c r="J571" s="18"/>
    </row>
    <row r="572" spans="1:10" x14ac:dyDescent="0.25">
      <c r="A572" s="18"/>
      <c r="J572" s="18"/>
    </row>
    <row r="573" spans="1:10" x14ac:dyDescent="0.25">
      <c r="A573" s="18"/>
      <c r="J573" s="18"/>
    </row>
    <row r="574" spans="1:10" x14ac:dyDescent="0.25">
      <c r="A574" s="18"/>
      <c r="J574" s="18"/>
    </row>
    <row r="575" spans="1:10" x14ac:dyDescent="0.25">
      <c r="A575" s="18"/>
      <c r="J575" s="18"/>
    </row>
    <row r="576" spans="1:10" x14ac:dyDescent="0.25">
      <c r="A576" s="18"/>
      <c r="J576" s="18"/>
    </row>
    <row r="577" spans="1:10" x14ac:dyDescent="0.25">
      <c r="A577" s="18"/>
      <c r="J577" s="18"/>
    </row>
    <row r="578" spans="1:10" x14ac:dyDescent="0.25">
      <c r="A578" s="18"/>
      <c r="J578" s="18"/>
    </row>
    <row r="579" spans="1:10" x14ac:dyDescent="0.25">
      <c r="A579" s="18"/>
      <c r="J579" s="18"/>
    </row>
    <row r="580" spans="1:10" x14ac:dyDescent="0.25">
      <c r="A580" s="18"/>
      <c r="J580" s="18"/>
    </row>
    <row r="581" spans="1:10" x14ac:dyDescent="0.25">
      <c r="A581" s="18"/>
      <c r="J581" s="18"/>
    </row>
    <row r="582" spans="1:10" x14ac:dyDescent="0.25">
      <c r="A582" s="18"/>
      <c r="J582" s="18"/>
    </row>
    <row r="583" spans="1:10" x14ac:dyDescent="0.25">
      <c r="A583" s="18"/>
      <c r="J583" s="18"/>
    </row>
    <row r="584" spans="1:10" x14ac:dyDescent="0.25">
      <c r="A584" s="18"/>
      <c r="J584" s="18"/>
    </row>
    <row r="585" spans="1:10" x14ac:dyDescent="0.25">
      <c r="A585" s="18"/>
      <c r="J585" s="18"/>
    </row>
    <row r="586" spans="1:10" x14ac:dyDescent="0.25">
      <c r="A586" s="18"/>
      <c r="J586" s="18"/>
    </row>
    <row r="587" spans="1:10" x14ac:dyDescent="0.25">
      <c r="A587" s="18"/>
      <c r="J587" s="18"/>
    </row>
    <row r="588" spans="1:10" x14ac:dyDescent="0.25">
      <c r="A588" s="18"/>
      <c r="J588" s="18"/>
    </row>
    <row r="589" spans="1:10" x14ac:dyDescent="0.25">
      <c r="A589" s="18"/>
      <c r="J589" s="18"/>
    </row>
    <row r="590" spans="1:10" x14ac:dyDescent="0.25">
      <c r="A590" s="18"/>
      <c r="J590" s="18"/>
    </row>
    <row r="591" spans="1:10" x14ac:dyDescent="0.25">
      <c r="A591" s="18"/>
      <c r="J591" s="18"/>
    </row>
    <row r="592" spans="1:10" x14ac:dyDescent="0.25">
      <c r="A592" s="18"/>
      <c r="J592" s="18"/>
    </row>
    <row r="593" spans="1:10" x14ac:dyDescent="0.25">
      <c r="A593" s="18"/>
      <c r="J593" s="18"/>
    </row>
    <row r="594" spans="1:10" x14ac:dyDescent="0.25">
      <c r="A594" s="18"/>
      <c r="J594" s="18"/>
    </row>
    <row r="595" spans="1:10" x14ac:dyDescent="0.25">
      <c r="A595" s="18"/>
      <c r="J595" s="18"/>
    </row>
    <row r="596" spans="1:10" x14ac:dyDescent="0.25">
      <c r="A596" s="18"/>
      <c r="J596" s="18"/>
    </row>
    <row r="597" spans="1:10" x14ac:dyDescent="0.25">
      <c r="A597" s="18"/>
      <c r="J597" s="18"/>
    </row>
    <row r="598" spans="1:10" x14ac:dyDescent="0.25">
      <c r="A598" s="18"/>
      <c r="J598" s="18"/>
    </row>
    <row r="599" spans="1:10" x14ac:dyDescent="0.25">
      <c r="A599" s="18"/>
      <c r="J599" s="18"/>
    </row>
    <row r="600" spans="1:10" x14ac:dyDescent="0.25">
      <c r="A600" s="18"/>
      <c r="J600" s="18"/>
    </row>
    <row r="601" spans="1:10" x14ac:dyDescent="0.25">
      <c r="A601" s="18"/>
      <c r="J601" s="18"/>
    </row>
    <row r="602" spans="1:10" x14ac:dyDescent="0.25">
      <c r="A602" s="18"/>
      <c r="J602" s="18"/>
    </row>
    <row r="603" spans="1:10" x14ac:dyDescent="0.25">
      <c r="A603" s="18"/>
      <c r="J603" s="18"/>
    </row>
    <row r="604" spans="1:10" x14ac:dyDescent="0.25">
      <c r="A604" s="18"/>
      <c r="J604" s="18"/>
    </row>
    <row r="605" spans="1:10" x14ac:dyDescent="0.25">
      <c r="A605" s="18"/>
      <c r="J605" s="18"/>
    </row>
    <row r="606" spans="1:10" x14ac:dyDescent="0.25">
      <c r="A606" s="18"/>
      <c r="J606" s="18"/>
    </row>
    <row r="607" spans="1:10" x14ac:dyDescent="0.25">
      <c r="A607" s="18"/>
      <c r="J607" s="18"/>
    </row>
    <row r="608" spans="1:10" x14ac:dyDescent="0.25">
      <c r="A608" s="18"/>
      <c r="J608" s="18"/>
    </row>
    <row r="609" spans="1:10" x14ac:dyDescent="0.25">
      <c r="A609" s="18"/>
      <c r="J609" s="18"/>
    </row>
    <row r="610" spans="1:10" x14ac:dyDescent="0.25">
      <c r="A610" s="18"/>
      <c r="J610" s="18"/>
    </row>
    <row r="611" spans="1:10" x14ac:dyDescent="0.25">
      <c r="A611" s="18"/>
      <c r="J611" s="18"/>
    </row>
    <row r="612" spans="1:10" x14ac:dyDescent="0.25">
      <c r="A612" s="18"/>
      <c r="J612" s="18"/>
    </row>
    <row r="613" spans="1:10" x14ac:dyDescent="0.25">
      <c r="A613" s="18"/>
      <c r="J613" s="18"/>
    </row>
    <row r="614" spans="1:10" x14ac:dyDescent="0.25">
      <c r="A614" s="18"/>
      <c r="J614" s="18"/>
    </row>
    <row r="615" spans="1:10" x14ac:dyDescent="0.25">
      <c r="A615" s="18"/>
      <c r="J615" s="18"/>
    </row>
    <row r="616" spans="1:10" x14ac:dyDescent="0.25">
      <c r="A616" s="18"/>
      <c r="J616" s="18"/>
    </row>
    <row r="617" spans="1:10" x14ac:dyDescent="0.25">
      <c r="A617" s="18"/>
      <c r="J617" s="18"/>
    </row>
    <row r="618" spans="1:10" x14ac:dyDescent="0.25">
      <c r="A618" s="18"/>
      <c r="J618" s="18"/>
    </row>
    <row r="619" spans="1:10" x14ac:dyDescent="0.25">
      <c r="A619" s="18"/>
      <c r="J619" s="18"/>
    </row>
    <row r="620" spans="1:10" x14ac:dyDescent="0.25">
      <c r="A620" s="18"/>
      <c r="J620" s="18"/>
    </row>
    <row r="621" spans="1:10" x14ac:dyDescent="0.25">
      <c r="A621" s="18"/>
      <c r="J621" s="18"/>
    </row>
    <row r="622" spans="1:10" x14ac:dyDescent="0.25">
      <c r="A622" s="18"/>
      <c r="J622" s="18"/>
    </row>
    <row r="623" spans="1:10" x14ac:dyDescent="0.25">
      <c r="A623" s="18"/>
      <c r="J623" s="18"/>
    </row>
    <row r="624" spans="1:10" x14ac:dyDescent="0.25">
      <c r="A624" s="18"/>
      <c r="J624" s="18"/>
    </row>
    <row r="625" spans="1:10" x14ac:dyDescent="0.25">
      <c r="A625" s="18"/>
      <c r="J625" s="18"/>
    </row>
    <row r="626" spans="1:10" x14ac:dyDescent="0.25">
      <c r="A626" s="18"/>
      <c r="J626" s="18"/>
    </row>
    <row r="627" spans="1:10" x14ac:dyDescent="0.25">
      <c r="A627" s="18"/>
      <c r="J627" s="18"/>
    </row>
    <row r="628" spans="1:10" x14ac:dyDescent="0.25">
      <c r="A628" s="18"/>
      <c r="J628" s="18"/>
    </row>
    <row r="629" spans="1:10" x14ac:dyDescent="0.25">
      <c r="A629" s="18"/>
      <c r="J629" s="18"/>
    </row>
    <row r="630" spans="1:10" x14ac:dyDescent="0.25">
      <c r="A630" s="18"/>
      <c r="J630" s="18"/>
    </row>
    <row r="631" spans="1:10" x14ac:dyDescent="0.25">
      <c r="A631" s="18"/>
      <c r="J631" s="18"/>
    </row>
    <row r="632" spans="1:10" x14ac:dyDescent="0.25">
      <c r="A632" s="18"/>
      <c r="J632" s="18"/>
    </row>
    <row r="633" spans="1:10" x14ac:dyDescent="0.25">
      <c r="A633" s="18"/>
      <c r="J633" s="18"/>
    </row>
    <row r="634" spans="1:10" x14ac:dyDescent="0.25">
      <c r="A634" s="18"/>
      <c r="J634" s="18"/>
    </row>
    <row r="635" spans="1:10" x14ac:dyDescent="0.25">
      <c r="A635" s="18"/>
      <c r="J635" s="18"/>
    </row>
    <row r="636" spans="1:10" x14ac:dyDescent="0.25">
      <c r="A636" s="18"/>
      <c r="J636" s="18"/>
    </row>
    <row r="637" spans="1:10" x14ac:dyDescent="0.25">
      <c r="A637" s="18"/>
      <c r="J637" s="18"/>
    </row>
    <row r="638" spans="1:10" x14ac:dyDescent="0.25">
      <c r="A638" s="18"/>
      <c r="J638" s="18"/>
    </row>
    <row r="639" spans="1:10" x14ac:dyDescent="0.25">
      <c r="A639" s="18"/>
      <c r="J639" s="18"/>
    </row>
    <row r="640" spans="1:10" x14ac:dyDescent="0.25">
      <c r="A640" s="18"/>
      <c r="J640" s="18"/>
    </row>
    <row r="641" spans="1:10" x14ac:dyDescent="0.25">
      <c r="A641" s="18"/>
      <c r="J641" s="18"/>
    </row>
    <row r="642" spans="1:10" x14ac:dyDescent="0.25">
      <c r="A642" s="18"/>
      <c r="J642" s="18"/>
    </row>
    <row r="643" spans="1:10" x14ac:dyDescent="0.25">
      <c r="A643" s="18"/>
      <c r="J643" s="18"/>
    </row>
    <row r="644" spans="1:10" x14ac:dyDescent="0.25">
      <c r="A644" s="18"/>
      <c r="J644" s="18"/>
    </row>
    <row r="645" spans="1:10" x14ac:dyDescent="0.25">
      <c r="A645" s="18"/>
      <c r="J645" s="18"/>
    </row>
    <row r="646" spans="1:10" x14ac:dyDescent="0.25">
      <c r="A646" s="18"/>
      <c r="J646" s="18"/>
    </row>
    <row r="647" spans="1:10" x14ac:dyDescent="0.25">
      <c r="A647" s="18"/>
      <c r="J647" s="18"/>
    </row>
    <row r="648" spans="1:10" x14ac:dyDescent="0.25">
      <c r="A648" s="18"/>
      <c r="J648" s="18"/>
    </row>
    <row r="649" spans="1:10" x14ac:dyDescent="0.25">
      <c r="A649" s="18"/>
      <c r="J649" s="18"/>
    </row>
    <row r="650" spans="1:10" x14ac:dyDescent="0.25">
      <c r="A650" s="18"/>
      <c r="J650" s="18"/>
    </row>
    <row r="651" spans="1:10" x14ac:dyDescent="0.25">
      <c r="A651" s="18"/>
      <c r="J651" s="18"/>
    </row>
    <row r="652" spans="1:10" x14ac:dyDescent="0.25">
      <c r="A652" s="18"/>
      <c r="J652" s="18"/>
    </row>
    <row r="653" spans="1:10" x14ac:dyDescent="0.25">
      <c r="A653" s="18"/>
      <c r="J653" s="18"/>
    </row>
    <row r="654" spans="1:10" x14ac:dyDescent="0.25">
      <c r="A654" s="18"/>
      <c r="J654" s="18"/>
    </row>
    <row r="655" spans="1:10" x14ac:dyDescent="0.25">
      <c r="A655" s="18"/>
      <c r="J655" s="18"/>
    </row>
    <row r="656" spans="1:10" x14ac:dyDescent="0.25">
      <c r="A656" s="18"/>
      <c r="J656" s="18"/>
    </row>
    <row r="657" spans="1:10" x14ac:dyDescent="0.25">
      <c r="A657" s="18"/>
      <c r="J657" s="18"/>
    </row>
    <row r="658" spans="1:10" x14ac:dyDescent="0.25">
      <c r="A658" s="18"/>
      <c r="J658" s="18"/>
    </row>
    <row r="659" spans="1:10" x14ac:dyDescent="0.25">
      <c r="A659" s="18"/>
      <c r="J659" s="18"/>
    </row>
    <row r="660" spans="1:10" x14ac:dyDescent="0.25">
      <c r="A660" s="18"/>
      <c r="J660" s="18"/>
    </row>
    <row r="661" spans="1:10" x14ac:dyDescent="0.25">
      <c r="A661" s="18"/>
      <c r="J661" s="18"/>
    </row>
    <row r="662" spans="1:10" x14ac:dyDescent="0.25">
      <c r="A662" s="18"/>
      <c r="J662" s="18"/>
    </row>
    <row r="663" spans="1:10" x14ac:dyDescent="0.25">
      <c r="A663" s="18"/>
      <c r="J663" s="18"/>
    </row>
    <row r="664" spans="1:10" x14ac:dyDescent="0.25">
      <c r="A664" s="18"/>
      <c r="J664" s="18"/>
    </row>
    <row r="665" spans="1:10" x14ac:dyDescent="0.25">
      <c r="A665" s="18"/>
      <c r="J665" s="18"/>
    </row>
    <row r="666" spans="1:10" x14ac:dyDescent="0.25">
      <c r="A666" s="18"/>
      <c r="J666" s="18"/>
    </row>
    <row r="667" spans="1:10" x14ac:dyDescent="0.25">
      <c r="A667" s="18"/>
      <c r="J667" s="18"/>
    </row>
    <row r="668" spans="1:10" x14ac:dyDescent="0.25">
      <c r="A668" s="18"/>
      <c r="J668" s="18"/>
    </row>
    <row r="669" spans="1:10" x14ac:dyDescent="0.25">
      <c r="A669" s="18"/>
      <c r="J669" s="18"/>
    </row>
    <row r="670" spans="1:10" x14ac:dyDescent="0.25">
      <c r="A670" s="18"/>
      <c r="J670" s="18"/>
    </row>
    <row r="671" spans="1:10" x14ac:dyDescent="0.25">
      <c r="A671" s="18"/>
      <c r="J671" s="18"/>
    </row>
    <row r="672" spans="1:10" x14ac:dyDescent="0.25">
      <c r="A672" s="18"/>
      <c r="J672" s="18"/>
    </row>
    <row r="673" spans="1:10" x14ac:dyDescent="0.25">
      <c r="A673" s="18"/>
      <c r="J673" s="18"/>
    </row>
    <row r="674" spans="1:10" x14ac:dyDescent="0.25">
      <c r="A674" s="18"/>
      <c r="J674" s="18"/>
    </row>
    <row r="675" spans="1:10" x14ac:dyDescent="0.25">
      <c r="A675" s="18"/>
      <c r="J675" s="18"/>
    </row>
    <row r="676" spans="1:10" x14ac:dyDescent="0.25">
      <c r="A676" s="18"/>
      <c r="J676" s="18"/>
    </row>
    <row r="677" spans="1:10" x14ac:dyDescent="0.25">
      <c r="A677" s="18"/>
      <c r="J677" s="18"/>
    </row>
    <row r="678" spans="1:10" x14ac:dyDescent="0.25">
      <c r="A678" s="18"/>
      <c r="J678" s="18"/>
    </row>
    <row r="679" spans="1:10" x14ac:dyDescent="0.25">
      <c r="A679" s="18"/>
      <c r="J679" s="18"/>
    </row>
    <row r="680" spans="1:10" x14ac:dyDescent="0.25">
      <c r="A680" s="18"/>
      <c r="J680" s="18"/>
    </row>
    <row r="681" spans="1:10" x14ac:dyDescent="0.25">
      <c r="A681" s="18"/>
      <c r="J681" s="18"/>
    </row>
    <row r="682" spans="1:10" x14ac:dyDescent="0.25">
      <c r="A682" s="18"/>
      <c r="J682" s="18"/>
    </row>
    <row r="683" spans="1:10" x14ac:dyDescent="0.25">
      <c r="A683" s="18"/>
      <c r="J683" s="18"/>
    </row>
    <row r="684" spans="1:10" x14ac:dyDescent="0.25">
      <c r="A684" s="18"/>
      <c r="J684" s="18"/>
    </row>
    <row r="685" spans="1:10" x14ac:dyDescent="0.25">
      <c r="A685" s="18"/>
      <c r="J685" s="18"/>
    </row>
    <row r="686" spans="1:10" x14ac:dyDescent="0.25">
      <c r="A686" s="18"/>
      <c r="J686" s="18"/>
    </row>
    <row r="687" spans="1:10" x14ac:dyDescent="0.25">
      <c r="A687" s="18"/>
      <c r="J687" s="18"/>
    </row>
    <row r="688" spans="1:10" x14ac:dyDescent="0.25">
      <c r="A688" s="18"/>
      <c r="J688" s="18"/>
    </row>
    <row r="689" spans="1:10" x14ac:dyDescent="0.25">
      <c r="A689" s="18"/>
      <c r="J689" s="18"/>
    </row>
    <row r="690" spans="1:10" x14ac:dyDescent="0.25">
      <c r="A690" s="18"/>
      <c r="J690" s="18"/>
    </row>
    <row r="691" spans="1:10" x14ac:dyDescent="0.25">
      <c r="A691" s="18"/>
      <c r="J691" s="18"/>
    </row>
    <row r="692" spans="1:10" x14ac:dyDescent="0.25">
      <c r="A692" s="18"/>
      <c r="J692" s="18"/>
    </row>
    <row r="693" spans="1:10" x14ac:dyDescent="0.25">
      <c r="A693" s="18"/>
      <c r="J693" s="18"/>
    </row>
    <row r="694" spans="1:10" x14ac:dyDescent="0.25">
      <c r="A694" s="18"/>
      <c r="J694" s="18"/>
    </row>
    <row r="695" spans="1:10" x14ac:dyDescent="0.25">
      <c r="A695" s="18"/>
      <c r="J695" s="18"/>
    </row>
    <row r="696" spans="1:10" x14ac:dyDescent="0.25">
      <c r="A696" s="18"/>
      <c r="J696" s="18"/>
    </row>
    <row r="697" spans="1:10" x14ac:dyDescent="0.25">
      <c r="A697" s="18"/>
      <c r="J697" s="18"/>
    </row>
    <row r="698" spans="1:10" x14ac:dyDescent="0.25">
      <c r="A698" s="18"/>
      <c r="J698" s="18"/>
    </row>
    <row r="699" spans="1:10" x14ac:dyDescent="0.25">
      <c r="A699" s="18"/>
      <c r="J699" s="18"/>
    </row>
    <row r="700" spans="1:10" x14ac:dyDescent="0.25">
      <c r="A700" s="18"/>
      <c r="J700" s="18"/>
    </row>
    <row r="701" spans="1:10" x14ac:dyDescent="0.25">
      <c r="A701" s="18"/>
      <c r="J701" s="18"/>
    </row>
    <row r="702" spans="1:10" x14ac:dyDescent="0.25">
      <c r="A702" s="18"/>
      <c r="J702" s="18"/>
    </row>
    <row r="703" spans="1:10" x14ac:dyDescent="0.25">
      <c r="A703" s="18"/>
      <c r="J703" s="18"/>
    </row>
    <row r="704" spans="1:10" x14ac:dyDescent="0.25">
      <c r="A704" s="18"/>
      <c r="J704" s="18"/>
    </row>
    <row r="705" spans="1:10" x14ac:dyDescent="0.25">
      <c r="A705" s="18"/>
      <c r="J705" s="18"/>
    </row>
    <row r="706" spans="1:10" x14ac:dyDescent="0.25">
      <c r="A706" s="18"/>
      <c r="J706" s="18"/>
    </row>
    <row r="707" spans="1:10" x14ac:dyDescent="0.25">
      <c r="A707" s="18"/>
      <c r="J707" s="18"/>
    </row>
    <row r="708" spans="1:10" x14ac:dyDescent="0.25">
      <c r="A708" s="18"/>
      <c r="J708" s="18"/>
    </row>
    <row r="709" spans="1:10" x14ac:dyDescent="0.25">
      <c r="A709" s="18"/>
      <c r="J709" s="18"/>
    </row>
    <row r="710" spans="1:10" x14ac:dyDescent="0.25">
      <c r="A710" s="18"/>
      <c r="J710" s="18"/>
    </row>
    <row r="711" spans="1:10" x14ac:dyDescent="0.25">
      <c r="A711" s="18"/>
      <c r="J711" s="18"/>
    </row>
    <row r="712" spans="1:10" x14ac:dyDescent="0.25">
      <c r="A712" s="18"/>
      <c r="J712" s="18"/>
    </row>
    <row r="713" spans="1:10" x14ac:dyDescent="0.25">
      <c r="A713" s="18"/>
      <c r="J713" s="18"/>
    </row>
    <row r="714" spans="1:10" x14ac:dyDescent="0.25">
      <c r="A714" s="18"/>
      <c r="J714" s="18"/>
    </row>
    <row r="715" spans="1:10" x14ac:dyDescent="0.25">
      <c r="A715" s="18"/>
      <c r="J715" s="18"/>
    </row>
    <row r="716" spans="1:10" x14ac:dyDescent="0.25">
      <c r="A716" s="18"/>
      <c r="J716" s="18"/>
    </row>
    <row r="717" spans="1:10" x14ac:dyDescent="0.25">
      <c r="A717" s="18"/>
      <c r="J717" s="18"/>
    </row>
    <row r="718" spans="1:10" x14ac:dyDescent="0.25">
      <c r="A718" s="18"/>
      <c r="J718" s="18"/>
    </row>
    <row r="719" spans="1:10" x14ac:dyDescent="0.25">
      <c r="A719" s="18"/>
      <c r="J719" s="18"/>
    </row>
    <row r="720" spans="1:10" x14ac:dyDescent="0.25">
      <c r="A720" s="18"/>
      <c r="J720" s="18"/>
    </row>
    <row r="721" spans="1:10" x14ac:dyDescent="0.25">
      <c r="A721" s="18"/>
      <c r="J721" s="18"/>
    </row>
    <row r="722" spans="1:10" x14ac:dyDescent="0.25">
      <c r="A722" s="18"/>
      <c r="J722" s="18"/>
    </row>
    <row r="723" spans="1:10" x14ac:dyDescent="0.25">
      <c r="A723" s="18"/>
      <c r="J723" s="18"/>
    </row>
    <row r="724" spans="1:10" x14ac:dyDescent="0.25">
      <c r="A724" s="18"/>
      <c r="J724" s="18"/>
    </row>
    <row r="725" spans="1:10" x14ac:dyDescent="0.25">
      <c r="A725" s="18"/>
      <c r="J725" s="18"/>
    </row>
    <row r="726" spans="1:10" x14ac:dyDescent="0.25">
      <c r="A726" s="18"/>
      <c r="J726" s="18"/>
    </row>
    <row r="727" spans="1:10" x14ac:dyDescent="0.25">
      <c r="A727" s="18"/>
      <c r="J727" s="18"/>
    </row>
    <row r="728" spans="1:10" x14ac:dyDescent="0.25">
      <c r="A728" s="18"/>
      <c r="J728" s="18"/>
    </row>
    <row r="729" spans="1:10" x14ac:dyDescent="0.25">
      <c r="A729" s="18"/>
      <c r="J729" s="18"/>
    </row>
    <row r="730" spans="1:10" x14ac:dyDescent="0.25">
      <c r="A730" s="18"/>
      <c r="J730" s="18"/>
    </row>
    <row r="731" spans="1:10" x14ac:dyDescent="0.25">
      <c r="A731" s="18"/>
      <c r="J731" s="18"/>
    </row>
    <row r="732" spans="1:10" x14ac:dyDescent="0.25">
      <c r="A732" s="18"/>
      <c r="J732" s="18"/>
    </row>
    <row r="733" spans="1:10" x14ac:dyDescent="0.25">
      <c r="A733" s="18"/>
      <c r="J733" s="18"/>
    </row>
    <row r="734" spans="1:10" x14ac:dyDescent="0.25">
      <c r="A734" s="18"/>
      <c r="J734" s="18"/>
    </row>
    <row r="735" spans="1:10" x14ac:dyDescent="0.25">
      <c r="A735" s="18"/>
      <c r="J735" s="18"/>
    </row>
    <row r="736" spans="1:10" x14ac:dyDescent="0.25">
      <c r="A736" s="18"/>
      <c r="J736" s="18"/>
    </row>
    <row r="737" spans="1:10" x14ac:dyDescent="0.25">
      <c r="A737" s="18"/>
      <c r="J737" s="18"/>
    </row>
    <row r="738" spans="1:10" x14ac:dyDescent="0.25">
      <c r="A738" s="18"/>
      <c r="J738" s="18"/>
    </row>
    <row r="739" spans="1:10" x14ac:dyDescent="0.25">
      <c r="A739" s="18"/>
      <c r="J739" s="18"/>
    </row>
    <row r="740" spans="1:10" x14ac:dyDescent="0.25">
      <c r="A740" s="18"/>
      <c r="J740" s="18"/>
    </row>
    <row r="741" spans="1:10" x14ac:dyDescent="0.25">
      <c r="A741" s="18"/>
      <c r="J741" s="18"/>
    </row>
    <row r="742" spans="1:10" x14ac:dyDescent="0.25">
      <c r="A742" s="18"/>
      <c r="J742" s="18"/>
    </row>
    <row r="743" spans="1:10" x14ac:dyDescent="0.25">
      <c r="A743" s="18"/>
      <c r="J743" s="18"/>
    </row>
    <row r="744" spans="1:10" x14ac:dyDescent="0.25">
      <c r="A744" s="18"/>
      <c r="J744" s="18"/>
    </row>
    <row r="745" spans="1:10" x14ac:dyDescent="0.25">
      <c r="A745" s="18"/>
      <c r="J745" s="18"/>
    </row>
    <row r="746" spans="1:10" x14ac:dyDescent="0.25">
      <c r="A746" s="18"/>
      <c r="J746" s="18"/>
    </row>
    <row r="747" spans="1:10" x14ac:dyDescent="0.25">
      <c r="A747" s="18"/>
      <c r="J747" s="18"/>
    </row>
    <row r="748" spans="1:10" x14ac:dyDescent="0.25">
      <c r="A748" s="18"/>
      <c r="J748" s="18"/>
    </row>
    <row r="749" spans="1:10" x14ac:dyDescent="0.25">
      <c r="A749" s="18"/>
      <c r="J749" s="18"/>
    </row>
    <row r="750" spans="1:10" x14ac:dyDescent="0.25">
      <c r="A750" s="18"/>
      <c r="J750" s="18"/>
    </row>
    <row r="751" spans="1:10" x14ac:dyDescent="0.25">
      <c r="A751" s="18"/>
      <c r="J751" s="18"/>
    </row>
    <row r="752" spans="1:10" x14ac:dyDescent="0.25">
      <c r="A752" s="18"/>
      <c r="J752" s="18"/>
    </row>
    <row r="753" spans="1:10" x14ac:dyDescent="0.25">
      <c r="A753" s="18"/>
      <c r="J753" s="18"/>
    </row>
    <row r="754" spans="1:10" x14ac:dyDescent="0.25">
      <c r="A754" s="18"/>
      <c r="J754" s="18"/>
    </row>
    <row r="755" spans="1:10" x14ac:dyDescent="0.25">
      <c r="A755" s="18"/>
      <c r="J755" s="18"/>
    </row>
    <row r="756" spans="1:10" x14ac:dyDescent="0.25">
      <c r="A756" s="18"/>
      <c r="J756" s="18"/>
    </row>
    <row r="757" spans="1:10" x14ac:dyDescent="0.25">
      <c r="A757" s="18"/>
      <c r="J757" s="18"/>
    </row>
    <row r="758" spans="1:10" x14ac:dyDescent="0.25">
      <c r="A758" s="18"/>
      <c r="J758" s="18"/>
    </row>
    <row r="759" spans="1:10" x14ac:dyDescent="0.25">
      <c r="A759" s="18"/>
      <c r="J759" s="18"/>
    </row>
    <row r="760" spans="1:10" x14ac:dyDescent="0.25">
      <c r="A760" s="18"/>
      <c r="J760" s="18"/>
    </row>
    <row r="761" spans="1:10" x14ac:dyDescent="0.25">
      <c r="A761" s="18"/>
      <c r="J761" s="18"/>
    </row>
    <row r="762" spans="1:10" x14ac:dyDescent="0.25">
      <c r="A762" s="18"/>
      <c r="J762" s="18"/>
    </row>
    <row r="763" spans="1:10" x14ac:dyDescent="0.25">
      <c r="A763" s="18"/>
      <c r="J763" s="18"/>
    </row>
    <row r="764" spans="1:10" x14ac:dyDescent="0.25">
      <c r="A764" s="18"/>
      <c r="J764" s="18"/>
    </row>
    <row r="765" spans="1:10" x14ac:dyDescent="0.25">
      <c r="A765" s="18"/>
      <c r="J765" s="18"/>
    </row>
    <row r="766" spans="1:10" x14ac:dyDescent="0.25">
      <c r="A766" s="18"/>
      <c r="J766" s="18"/>
    </row>
    <row r="767" spans="1:10" x14ac:dyDescent="0.25">
      <c r="A767" s="18"/>
      <c r="J767" s="18"/>
    </row>
    <row r="768" spans="1:10" x14ac:dyDescent="0.25">
      <c r="A768" s="18"/>
      <c r="J768" s="18"/>
    </row>
    <row r="769" spans="1:10" x14ac:dyDescent="0.25">
      <c r="A769" s="18"/>
      <c r="J769" s="18"/>
    </row>
    <row r="770" spans="1:10" x14ac:dyDescent="0.25">
      <c r="A770" s="18"/>
      <c r="J770" s="18"/>
    </row>
    <row r="771" spans="1:10" x14ac:dyDescent="0.25">
      <c r="A771" s="18"/>
      <c r="J771" s="18"/>
    </row>
    <row r="772" spans="1:10" x14ac:dyDescent="0.25">
      <c r="A772" s="18"/>
      <c r="J772" s="18"/>
    </row>
    <row r="773" spans="1:10" x14ac:dyDescent="0.25">
      <c r="A773" s="18"/>
      <c r="J773" s="18"/>
    </row>
    <row r="774" spans="1:10" x14ac:dyDescent="0.25">
      <c r="A774" s="18"/>
      <c r="J774" s="18"/>
    </row>
    <row r="775" spans="1:10" x14ac:dyDescent="0.25">
      <c r="A775" s="18"/>
      <c r="J775" s="18"/>
    </row>
    <row r="776" spans="1:10" x14ac:dyDescent="0.25">
      <c r="A776" s="18"/>
      <c r="J776" s="18"/>
    </row>
    <row r="777" spans="1:10" x14ac:dyDescent="0.25">
      <c r="A777" s="18"/>
      <c r="J777" s="18"/>
    </row>
    <row r="778" spans="1:10" x14ac:dyDescent="0.25">
      <c r="A778" s="18"/>
      <c r="J778" s="18"/>
    </row>
    <row r="779" spans="1:10" x14ac:dyDescent="0.25">
      <c r="A779" s="18"/>
      <c r="J779" s="18"/>
    </row>
    <row r="780" spans="1:10" x14ac:dyDescent="0.25">
      <c r="A780" s="18"/>
      <c r="J780" s="18"/>
    </row>
    <row r="781" spans="1:10" x14ac:dyDescent="0.25">
      <c r="A781" s="18"/>
      <c r="J781" s="18"/>
    </row>
    <row r="782" spans="1:10" x14ac:dyDescent="0.25">
      <c r="A782" s="18"/>
      <c r="J782" s="18"/>
    </row>
    <row r="783" spans="1:10" x14ac:dyDescent="0.25">
      <c r="A783" s="18"/>
      <c r="J783" s="18"/>
    </row>
    <row r="784" spans="1:10" x14ac:dyDescent="0.25">
      <c r="A784" s="18"/>
      <c r="J784" s="18"/>
    </row>
    <row r="785" spans="1:10" x14ac:dyDescent="0.25">
      <c r="A785" s="18"/>
      <c r="J785" s="18"/>
    </row>
    <row r="786" spans="1:10" x14ac:dyDescent="0.25">
      <c r="A786" s="18"/>
      <c r="J786" s="18"/>
    </row>
    <row r="787" spans="1:10" x14ac:dyDescent="0.25">
      <c r="A787" s="18"/>
      <c r="J787" s="18"/>
    </row>
    <row r="788" spans="1:10" x14ac:dyDescent="0.25">
      <c r="A788" s="18"/>
      <c r="J788" s="18"/>
    </row>
    <row r="789" spans="1:10" x14ac:dyDescent="0.25">
      <c r="A789" s="18"/>
      <c r="J789" s="18"/>
    </row>
    <row r="790" spans="1:10" x14ac:dyDescent="0.25">
      <c r="A790" s="18"/>
      <c r="J790" s="18"/>
    </row>
    <row r="791" spans="1:10" x14ac:dyDescent="0.25">
      <c r="A791" s="18"/>
      <c r="J791" s="18"/>
    </row>
    <row r="792" spans="1:10" x14ac:dyDescent="0.25">
      <c r="A792" s="18"/>
      <c r="J792" s="18"/>
    </row>
    <row r="793" spans="1:10" x14ac:dyDescent="0.25">
      <c r="A793" s="18"/>
      <c r="J793" s="18"/>
    </row>
    <row r="794" spans="1:10" x14ac:dyDescent="0.25">
      <c r="A794" s="18"/>
      <c r="J794" s="18"/>
    </row>
    <row r="795" spans="1:10" x14ac:dyDescent="0.25">
      <c r="A795" s="18"/>
      <c r="J795" s="18"/>
    </row>
    <row r="796" spans="1:10" x14ac:dyDescent="0.25">
      <c r="A796" s="18"/>
      <c r="J796" s="18"/>
    </row>
    <row r="797" spans="1:10" x14ac:dyDescent="0.25">
      <c r="A797" s="18"/>
      <c r="J797" s="18"/>
    </row>
    <row r="798" spans="1:10" x14ac:dyDescent="0.25">
      <c r="A798" s="18"/>
      <c r="J798" s="18"/>
    </row>
    <row r="799" spans="1:10" x14ac:dyDescent="0.25">
      <c r="A799" s="18"/>
      <c r="J799" s="18"/>
    </row>
    <row r="800" spans="1:10" x14ac:dyDescent="0.25">
      <c r="A800" s="18"/>
      <c r="J800" s="18"/>
    </row>
    <row r="801" spans="1:10" x14ac:dyDescent="0.25">
      <c r="A801" s="18"/>
      <c r="J801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17</vt:i4>
      </vt:variant>
    </vt:vector>
  </HeadingPairs>
  <TitlesOfParts>
    <vt:vector size="20" baseType="lpstr">
      <vt:lpstr>Расчет</vt:lpstr>
      <vt:lpstr>System</vt:lpstr>
      <vt:lpstr>Results</vt:lpstr>
      <vt:lpstr>rngBatchSummary</vt:lpstr>
      <vt:lpstr>rngCircleGeometry</vt:lpstr>
      <vt:lpstr>rngConcreteDiagramPoints</vt:lpstr>
      <vt:lpstr>rngLoadCombinations</vt:lpstr>
      <vt:lpstr>rngLShapeGeometry</vt:lpstr>
      <vt:lpstr>rngNDMElementResults</vt:lpstr>
      <vt:lpstr>rngNDMSectionAnnotations</vt:lpstr>
      <vt:lpstr>rngNDMSectionGeometry</vt:lpstr>
      <vt:lpstr>rngNDMSectionProperties</vt:lpstr>
      <vt:lpstr>rngPlotAnnotationSettings</vt:lpstr>
      <vt:lpstr>rngResultSection</vt:lpstr>
      <vt:lpstr>rngRoundedRectangleGeometry</vt:lpstr>
      <vt:lpstr>rngSignConventionSettings</vt:lpstr>
      <vt:lpstr>rngSteelDiagramPoints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2026-08-21T19:32:17Z</dcterms:created>
  <dcterms:modified xsi:type="dcterms:W3CDTF">2026-08-21T19:37:12Z</dcterms:modified>
</cp:coreProperties>
</file>