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workbook\output\"/>
    </mc:Choice>
  </mc:AlternateContent>
  <xr:revisionPtr revIDLastSave="0" documentId="8_{14790B5E-5C7D-4C38-9F08-54B292F86B8A}" xr6:coauthVersionLast="36" xr6:coauthVersionMax="36" xr10:uidLastSave="{00000000-0000-0000-0000-000000000000}"/>
  <bookViews>
    <workbookView xWindow="0" yWindow="0" windowWidth="38400" windowHeight="19815" xr2:uid="{0B1967C1-216D-40A6-8AE3-60AC710CFE47}"/>
  </bookViews>
  <sheets>
    <sheet name="Расчет" sheetId="2" r:id="rId1"/>
    <sheet name="System" sheetId="1" r:id="rId2"/>
  </sheets>
  <functionGroups builtInGroupCount="19"/>
  <definedNames>
    <definedName name="AutoCADSettings">System!$A$71:$D$71</definedName>
    <definedName name="CapacitySettings">System!$A$54:$D$62</definedName>
    <definedName name="ConcreteDiagram">System!$A$13:$D$26</definedName>
    <definedName name="GeometrySettings">System!$A$4:$D$11</definedName>
    <definedName name="OutputSettings">System!$A$64:$D$69</definedName>
    <definedName name="rngLoadCombinations">Расчет!$A$40:$G$60</definedName>
    <definedName name="rngMainInput">Расчет!$A$6:$Q$20</definedName>
    <definedName name="rngRebarInput">Расчет!$A$25:$G$34</definedName>
    <definedName name="rngResultSection">Расчет!$S$17:$AH$35</definedName>
    <definedName name="rngSystemDiagnostics">System!$A$77:$O$87</definedName>
    <definedName name="rngSystemSettings">System!$A$3:$D$71</definedName>
    <definedName name="SolverSettings">System!$A$40:$D$52</definedName>
    <definedName name="SteelDiagram">System!$A$28:$D$38</definedName>
    <definedName name="_xlnm.Print_Area" localSheetId="0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6" i="2" l="1"/>
  <c r="E15" i="2"/>
  <c r="E14" i="2"/>
  <c r="E7" i="2"/>
</calcChain>
</file>

<file path=xl/sharedStrings.xml><?xml version="1.0" encoding="utf-8"?>
<sst xmlns="http://schemas.openxmlformats.org/spreadsheetml/2006/main" count="258" uniqueCount="199">
  <si>
    <t>Исходные данные</t>
  </si>
  <si>
    <t>Геометрия и материалы</t>
  </si>
  <si>
    <t>Объект / элемент</t>
  </si>
  <si>
    <t>Тип сечения</t>
  </si>
  <si>
    <t>RoundedRectangle</t>
  </si>
  <si>
    <t>Задается на листе System</t>
  </si>
  <si>
    <t>Ширина</t>
  </si>
  <si>
    <t>мм</t>
  </si>
  <si>
    <t>Высота</t>
  </si>
  <si>
    <t>Радиус верхний левый</t>
  </si>
  <si>
    <t>Радиус верхний правый</t>
  </si>
  <si>
    <t>Радиус нижний правый</t>
  </si>
  <si>
    <t>Радиус нижний левый</t>
  </si>
  <si>
    <t>Диаметр круга</t>
  </si>
  <si>
    <t>Используется при Geometry.Type = Circle</t>
  </si>
  <si>
    <t>Центр круга X</t>
  </si>
  <si>
    <t>Центр круга Y</t>
  </si>
  <si>
    <t>Класс бетона</t>
  </si>
  <si>
    <t>Класс арматуры</t>
  </si>
  <si>
    <t>Защитный слой до оси арматуры</t>
  </si>
  <si>
    <t>Диаметр стержней</t>
  </si>
  <si>
    <t>Для автоматической арматуры круглого сечения</t>
  </si>
  <si>
    <t>Контрольная таблица арматуры</t>
  </si>
  <si>
    <t>ID</t>
  </si>
  <si>
    <t>X</t>
  </si>
  <si>
    <t>Y</t>
  </si>
  <si>
    <t>Diameter</t>
  </si>
  <si>
    <t>Area</t>
  </si>
  <si>
    <t>SteelClass</t>
  </si>
  <si>
    <t>Comment</t>
  </si>
  <si>
    <t>Сочетания нагрузок</t>
  </si>
  <si>
    <t>CombinationID</t>
  </si>
  <si>
    <t>N</t>
  </si>
  <si>
    <t>Mx</t>
  </si>
  <si>
    <t>My</t>
  </si>
  <si>
    <t>CalculationType</t>
  </si>
  <si>
    <t>DurationType</t>
  </si>
  <si>
    <t>Расчет N + Mx + My</t>
  </si>
  <si>
    <t>Расчет по прочности и трещиностойкости</t>
  </si>
  <si>
    <t>Сочетание</t>
  </si>
  <si>
    <t>Н</t>
  </si>
  <si>
    <t>Н*мм</t>
  </si>
  <si>
    <t>Статус</t>
  </si>
  <si>
    <t>Заполняется после расчета</t>
  </si>
  <si>
    <t>Примечание</t>
  </si>
  <si>
    <t>Единая постановка N + Mx + My</t>
  </si>
  <si>
    <t>Результаты</t>
  </si>
  <si>
    <t>Показатель</t>
  </si>
  <si>
    <t>Значение</t>
  </si>
  <si>
    <t>Ед.</t>
  </si>
  <si>
    <t>Комментарий</t>
  </si>
  <si>
    <t>Диагностика</t>
  </si>
  <si>
    <t>System</t>
  </si>
  <si>
    <t>Параметр</t>
  </si>
  <si>
    <t>[Геометрия и сетка]</t>
  </si>
  <si>
    <t>Geometry.Type</t>
  </si>
  <si>
    <t>Circle</t>
  </si>
  <si>
    <t>Тип сечения. Поддерживается: RoundedRectangle или Circle. Это единственный источник выбора геометрии.</t>
  </si>
  <si>
    <t>Circle.Diameter</t>
  </si>
  <si>
    <t>Диаметр круглого сечения. Используется только при Geometry.Type = Circle.</t>
  </si>
  <si>
    <t>Circle.CenterX</t>
  </si>
  <si>
    <t>Координата X центра круглого сечения.</t>
  </si>
  <si>
    <t>Circle.CenterY</t>
  </si>
  <si>
    <t>Координата Y центра круглого сечения.</t>
  </si>
  <si>
    <t>Mesh.StepX</t>
  </si>
  <si>
    <t>Базовый шаг бетонной волоконной сетки по X.</t>
  </si>
  <si>
    <t>Mesh.StepY</t>
  </si>
  <si>
    <t>Базовый шаг бетонной волоконной сетки по Y.</t>
  </si>
  <si>
    <t>Mesh.BoundarySubdivisions</t>
  </si>
  <si>
    <t>шт</t>
  </si>
  <si>
    <t>Количество подъячеек по каждой оси для граничной базовой ячейки; 1 - быстрый режим по центру ячейки.</t>
  </si>
  <si>
    <t>[Бетон и диаграмма]</t>
  </si>
  <si>
    <t>Concrete.Class</t>
  </si>
  <si>
    <t>B30</t>
  </si>
  <si>
    <t>Класс бетона для текущего набора параметров.</t>
  </si>
  <si>
    <t>Concrete.Rb.ULS</t>
  </si>
  <si>
    <t>МПа</t>
  </si>
  <si>
    <t>Расчетное сопротивление бетона осевому сжатию.</t>
  </si>
  <si>
    <t>Concrete.Rbt.ULS</t>
  </si>
  <si>
    <t>Расчетное сопротивление бетона осевому растяжению.</t>
  </si>
  <si>
    <t>Concrete.Rb.SLS</t>
  </si>
  <si>
    <t>Сопротивление бетона сжатию для эксплуатационных расчетов.</t>
  </si>
  <si>
    <t>Concrete.Rbt.SLS</t>
  </si>
  <si>
    <t>Сопротивление бетона растяжению для режима UseDiagram.</t>
  </si>
  <si>
    <t>Concrete.Eb</t>
  </si>
  <si>
    <t>Начальный модуль деформации бетона.</t>
  </si>
  <si>
    <t>Concrete.TensionMode</t>
  </si>
  <si>
    <t>Ignore</t>
  </si>
  <si>
    <t>Работа растянутого бетона: Ignore - нулевое напряжение и касательная жесткость; UseDiagram - растянутая ветвь диаграммы.</t>
  </si>
  <si>
    <t>Concrete.Point1.Eps</t>
  </si>
  <si>
    <t>Первая пользовательская точка сжатой ветви диаграммы бетона: деформация.</t>
  </si>
  <si>
    <t>Concrete.Point1.Stress</t>
  </si>
  <si>
    <t>Первая пользовательская точка сжатой ветви диаграммы бетона: напряжение.</t>
  </si>
  <si>
    <t>Concrete.Point2.Eps</t>
  </si>
  <si>
    <t>Вторая пользовательская точка сжатой ветви диаграммы бетона: деформация. По умолчанию лежит на площадке текущей двухлинейной формы.</t>
  </si>
  <si>
    <t>Concrete.Point2.Stress</t>
  </si>
  <si>
    <t>Вторая пользовательская точка сжатой ветви диаграммы бетона: напряжение.</t>
  </si>
  <si>
    <t>Concrete.Point3.Eps</t>
  </si>
  <si>
    <t>Третья пользовательская точка сжатой ветви диаграммы бетона: деформация. По умолчанию задает конец площадки текущей двухлинейной формы.</t>
  </si>
  <si>
    <t>Concrete.Point3.Stress</t>
  </si>
  <si>
    <t>Напряжение в третьей пользовательской точке бетона.</t>
  </si>
  <si>
    <t>[Арматура и диаграмма]</t>
  </si>
  <si>
    <t>Steel.Class</t>
  </si>
  <si>
    <t>A400</t>
  </si>
  <si>
    <t>Класс обычной ненапрягаемой арматуры.</t>
  </si>
  <si>
    <t>Steel.Rs.ULS</t>
  </si>
  <si>
    <t>Расчетное сопротивление арматуры растяжению.</t>
  </si>
  <si>
    <t>Steel.Rsc.ULS</t>
  </si>
  <si>
    <t>Расчетное сопротивление арматуры сжатию.</t>
  </si>
  <si>
    <t>Steel.Es</t>
  </si>
  <si>
    <t>Модуль упругости обычной ненапрягаемой арматуры.</t>
  </si>
  <si>
    <t>Steel.Point1.Eps</t>
  </si>
  <si>
    <t>Первая пользовательская точка растянутой ветви диаграммы арматуры: деформация.</t>
  </si>
  <si>
    <t>Steel.Point1.Stress</t>
  </si>
  <si>
    <t>Первая пользовательская точка растянутой ветви диаграммы арматуры: напряжение.</t>
  </si>
  <si>
    <t>Steel.Point2.Eps</t>
  </si>
  <si>
    <t>Вторая пользовательская точка растянутой ветви диаграммы арматуры: деформация. По умолчанию лежит на площадке текущей двухлинейной формы.</t>
  </si>
  <si>
    <t>Steel.Point2.Stress</t>
  </si>
  <si>
    <t>Вторая пользовательская точка растянутой ветви диаграммы арматуры: напряжение.</t>
  </si>
  <si>
    <t>Steel.Point3.Eps</t>
  </si>
  <si>
    <t>Третья пользовательская точка растянутой ветви диаграммы арматуры: деформация. По умолчанию задает конец площадки текущей двухлинейной формы.</t>
  </si>
  <si>
    <t>Steel.Point3.Stress</t>
  </si>
  <si>
    <t>Напряжение в третьей пользовательской точке арматуры.</t>
  </si>
  <si>
    <t>[Решатель равновесия]</t>
  </si>
  <si>
    <t>Calculation.Mode</t>
  </si>
  <si>
    <t>DirectState</t>
  </si>
  <si>
    <t>Режим расчета: DirectState - НДС по заданным усилиям; FullCapacity - поиск lambdaUltimate; LinearMatrix - один линейно-упругий матричный расчет.</t>
  </si>
  <si>
    <t>Solver.MaxIterations</t>
  </si>
  <si>
    <t>Максимальное число итераций Ньютона на ступень нагрузки.</t>
  </si>
  <si>
    <t>Solver.LoadSteps</t>
  </si>
  <si>
    <t>Число ступеней приложения нагрузки в прямом НДМ.</t>
  </si>
  <si>
    <t>Solver.ToleranceN</t>
  </si>
  <si>
    <t>Абсолютный допуск равновесия по продольной силе.</t>
  </si>
  <si>
    <t>Solver.ToleranceMx</t>
  </si>
  <si>
    <t>Абсолютный допуск равновесия по моменту Mx.</t>
  </si>
  <si>
    <t>Solver.ToleranceMy</t>
  </si>
  <si>
    <t>Абсолютный допуск равновесия по моменту My.</t>
  </si>
  <si>
    <t>Solver.LineSearchEnabled</t>
  </si>
  <si>
    <t>Yes</t>
  </si>
  <si>
    <t>Включить line search в CSectionSolver.</t>
  </si>
  <si>
    <t>Solver.DampingInitial</t>
  </si>
  <si>
    <t>Начальный коэффициент демпфирования шага Ньютона.</t>
  </si>
  <si>
    <t>Solver.MinLineSearchAlpha</t>
  </si>
  <si>
    <t>Минимальный коэффициент alpha при line search.</t>
  </si>
  <si>
    <t>Solver.MaxDeltaEpsilon0</t>
  </si>
  <si>
    <t>Ограничение приращения epsilon0 за одну итерацию.</t>
  </si>
  <si>
    <t>Solver.MaxDeltaKappa</t>
  </si>
  <si>
    <t>1/мм</t>
  </si>
  <si>
    <t>Ограничение приращения кривизны за одну итерацию.</t>
  </si>
  <si>
    <t>Solver.DiagnosticsEnabled</t>
  </si>
  <si>
    <t>No</t>
  </si>
  <si>
    <t>Записывать подробный журнал итераций решателя.</t>
  </si>
  <si>
    <t>[Поиск несущей способности]</t>
  </si>
  <si>
    <t>Capacity.InitialLambda</t>
  </si>
  <si>
    <t>Начальный множитель lambda для поиска верхней границы несущей способности.</t>
  </si>
  <si>
    <t>Capacity.MaxLambda</t>
  </si>
  <si>
    <t>Предельное значение lambda при расширении расчетной скобки.</t>
  </si>
  <si>
    <t>Capacity.ToleranceLambda</t>
  </si>
  <si>
    <t>Допуск одномерного поиска предельного множителя.</t>
  </si>
  <si>
    <t>Capacity.MaxRetries</t>
  </si>
  <si>
    <t>Число повторов после численной несходимости при поиске несущей способности.</t>
  </si>
  <si>
    <t>Capacity.BaseLoadSteps</t>
  </si>
  <si>
    <t>Базовое число ступеней нагрузки внутри CSectionSolver при режиме FullCapacity.</t>
  </si>
  <si>
    <t>Capacity.SolverMaxIterations</t>
  </si>
  <si>
    <t>Максимум итераций Ньютона на ступень при поиске несущей способности.</t>
  </si>
  <si>
    <t>Capacity.ConcreteCompressionLimit</t>
  </si>
  <si>
    <t>Предел деформации бетона для фиксации ConcreteStrainLimit.</t>
  </si>
  <si>
    <t>Capacity.SteelStrainLimit</t>
  </si>
  <si>
    <t>Предел деформации обычной ненапрягаемой арматуры для SteelStrainLimit.</t>
  </si>
  <si>
    <t>[Вывод и трещины]</t>
  </si>
  <si>
    <t>CrackWidth.Enabled</t>
  </si>
  <si>
    <t>Включить расчет ширины раскрытия уже образовавшихся нормальных трещин.</t>
  </si>
  <si>
    <t>CrackWidth.Allowable</t>
  </si>
  <si>
    <t>Допустимая ширина раскрытия трещин для коэффициента использования.</t>
  </si>
  <si>
    <t>CrackWidth.CrackSpacing</t>
  </si>
  <si>
    <t>Временный параметр расстояния между трещинами до окончательной нормативной трассировки.</t>
  </si>
  <si>
    <t>CrackWidth.StrainFactor</t>
  </si>
  <si>
    <t>Временный коэффициент для прозрачной формулы ширины раскрытия на листе.</t>
  </si>
  <si>
    <t>CrackWidth.DurationFactor</t>
  </si>
  <si>
    <t>Временный коэффициент длительности действия нагрузки.</t>
  </si>
  <si>
    <t>[AutoCAD]</t>
  </si>
  <si>
    <t>UseDiagram</t>
  </si>
  <si>
    <t>FullCapacity</t>
  </si>
  <si>
    <t>LinearMatrix</t>
  </si>
  <si>
    <t>Iteration</t>
  </si>
  <si>
    <t>LoadFactor</t>
  </si>
  <si>
    <t>Epsilon0</t>
  </si>
  <si>
    <t>KappaX</t>
  </si>
  <si>
    <t>KappaY</t>
  </si>
  <si>
    <t>Nint</t>
  </si>
  <si>
    <t>Mxint</t>
  </si>
  <si>
    <t>Myint</t>
  </si>
  <si>
    <t>ResidualN</t>
  </si>
  <si>
    <t>ResidualMx</t>
  </si>
  <si>
    <t>ResidualMy</t>
  </si>
  <si>
    <t>StepAlpha</t>
  </si>
  <si>
    <t>MatrixDeterminant</t>
  </si>
  <si>
    <t>MatrixConditionEstimate</t>
  </si>
  <si>
    <t>StopReason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</si>
</sst>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charset val="204"/>
      <scheme val="minor"/>
    </font>
    <font>
      <b/>
      <sz val="9"/>
      <color rgb="FFFFFFFF"/>
      <name val="Arial"/>
      <family val="2"/>
      <charset val="204"/>
    </font>
    <font>
      <sz val="9"/>
      <color theme="1"/>
      <name val="Arial"/>
      <family val="2"/>
      <charset val="204"/>
    </font>
    <font>
      <b/>
      <sz val="9"/>
      <color theme="1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162652"/>
        <bgColor indexed="64"/>
      </patternFill>
    </fill>
    <fill>
      <patternFill patternType="solid">
        <fgColor rgb="FF7F7F7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</fills>
  <borders count="3">
    <border>
      <left/>
      <right/>
      <top/>
      <bottom/>
      <diagonal/>
    </border>
    <border>
      <left style="thin">
        <color rgb="FFC0C0C0"/>
      </left>
      <right/>
      <top/>
      <bottom/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2" borderId="0" xfId="0" applyFont="1" applyFill="1" applyAlignment="1">
      <alignment horizontal="center" vertical="center"/>
    </xf>
    <xf numFmtId="0" fontId="2" fillId="0" borderId="0" xfId="0" applyFont="1"/>
    <xf numFmtId="0" fontId="2" fillId="0" borderId="0" xfId="0" applyFont="1" applyAlignment="1">
      <alignment vertical="center"/>
    </xf>
    <xf numFmtId="0" fontId="1" fillId="3" borderId="0" xfId="0" applyFont="1" applyFill="1" applyAlignment="1">
      <alignment horizontal="left" vertical="center"/>
    </xf>
    <xf numFmtId="0" fontId="3" fillId="0" borderId="2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3" fillId="4" borderId="2" xfId="0" applyFont="1" applyFill="1" applyBorder="1" applyAlignment="1">
      <alignment vertical="center"/>
    </xf>
    <xf numFmtId="0" fontId="3" fillId="4" borderId="2" xfId="0" applyFont="1" applyFill="1" applyBorder="1" applyAlignment="1">
      <alignment vertical="center"/>
    </xf>
    <xf numFmtId="0" fontId="1" fillId="3" borderId="1" xfId="0" applyFont="1" applyFill="1" applyBorder="1" applyAlignment="1">
      <alignment horizontal="left" vertical="center"/>
    </xf>
    <xf numFmtId="0" fontId="1" fillId="3" borderId="0" xfId="0" applyFont="1" applyFill="1" applyBorder="1" applyAlignment="1">
      <alignment horizontal="left" vertical="center"/>
    </xf>
    <xf numFmtId="0" fontId="3" fillId="0" borderId="0" xfId="0" applyFont="1"/>
    <xf numFmtId="0" fontId="3" fillId="4" borderId="0" xfId="0" applyFont="1" applyFill="1"/>
    <xf numFmtId="0" fontId="3" fillId="5" borderId="0" xfId="0" applyFont="1" applyFill="1"/>
    <xf numFmtId="0" fontId="1" fillId="3" borderId="0" xfId="0" applyFont="1" applyFill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40</xdr:col>
      <xdr:colOff>76200</xdr:colOff>
      <xdr:row>5</xdr:row>
      <xdr:rowOff>12700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49F07F5C-CD1C-41CB-AA3B-E892E9116DDE}"/>
            </a:ext>
          </a:extLst>
        </xdr:cNvPr>
        <xdr:cNvSpPr/>
      </xdr:nvSpPr>
      <xdr:spPr>
        <a:xfrm>
          <a:off x="11239500" y="781050"/>
          <a:ext cx="1905000" cy="3556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114300</xdr:rowOff>
    </xdr:from>
    <xdr:to>
      <xdr:col>40</xdr:col>
      <xdr:colOff>76200</xdr:colOff>
      <xdr:row>7</xdr:row>
      <xdr:rowOff>127000</xdr:rowOff>
    </xdr:to>
    <xdr:sp macro="ClearSectionResults" textlink="">
      <xdr:nvSpPr>
        <xdr:cNvPr id="3" name="btnClearSectionResults">
          <a:extLst>
            <a:ext uri="{FF2B5EF4-FFF2-40B4-BE49-F238E27FC236}">
              <a16:creationId xmlns:a16="http://schemas.microsoft.com/office/drawing/2014/main" id="{DA96698F-7813-401A-A7A9-C1D877B87C99}"/>
            </a:ext>
          </a:extLst>
        </xdr:cNvPr>
        <xdr:cNvSpPr/>
      </xdr:nvSpPr>
      <xdr:spPr>
        <a:xfrm>
          <a:off x="11239500" y="1238250"/>
          <a:ext cx="1905000" cy="3556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 b="1">
              <a:solidFill>
                <a:srgbClr val="FFFFFF"/>
              </a:solidFill>
            </a:rPr>
            <a:t>Очистить результаты</a:t>
          </a:r>
        </a:p>
      </xdr:txBody>
    </xdr:sp>
    <xdr:clientData/>
  </xdr:twoCellAnchor>
  <xdr:twoCellAnchor>
    <xdr:from>
      <xdr:col>37</xdr:col>
      <xdr:colOff>0</xdr:colOff>
      <xdr:row>8</xdr:row>
      <xdr:rowOff>57150</xdr:rowOff>
    </xdr:from>
    <xdr:to>
      <xdr:col>40</xdr:col>
      <xdr:colOff>76200</xdr:colOff>
      <xdr:row>10</xdr:row>
      <xdr:rowOff>69850</xdr:rowOff>
    </xdr:to>
    <xdr:sp macro="ExportSectionStressToAutoCAD" textlink="">
      <xdr:nvSpPr>
        <xdr:cNvPr id="4" name="btnExportStressToAutoCAD">
          <a:extLst>
            <a:ext uri="{FF2B5EF4-FFF2-40B4-BE49-F238E27FC236}">
              <a16:creationId xmlns:a16="http://schemas.microsoft.com/office/drawing/2014/main" id="{811D30A4-C0FA-405D-9639-CC909755FDA1}"/>
            </a:ext>
          </a:extLst>
        </xdr:cNvPr>
        <xdr:cNvSpPr/>
      </xdr:nvSpPr>
      <xdr:spPr>
        <a:xfrm>
          <a:off x="11239500" y="1695450"/>
          <a:ext cx="1905000" cy="3556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 b="1">
              <a:solidFill>
                <a:srgbClr val="FFFFFF"/>
              </a:solidFill>
            </a:rPr>
            <a:t>Экспорт в </a:t>
          </a:r>
          <a:r>
            <a:rPr lang="en-US" sz="1100" b="1">
              <a:solidFill>
                <a:srgbClr val="FFFFFF"/>
              </a:solidFill>
            </a:rPr>
            <a:t>AutoCAD</a:t>
          </a:r>
          <a:endParaRPr lang="ru-RU" sz="1100" b="1">
            <a:solidFill>
              <a:srgbClr val="FFFFFF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7CA0DA-45CE-4E5B-8234-58A8BED7966B}">
  <sheetPr codeName="Лист1"/>
  <dimension ref="A1:AJ60"/>
  <sheetViews>
    <sheetView tabSelected="1"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1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 t="s">
        <v>37</v>
      </c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</row>
    <row r="2" spans="1:36" ht="24" customHeight="1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</row>
    <row r="3" spans="1:36" ht="14.1" customHeight="1" x14ac:dyDescent="0.2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</row>
    <row r="4" spans="1:36" ht="14.1" customHeight="1" x14ac:dyDescent="0.25">
      <c r="A4" s="4" t="s">
        <v>1</v>
      </c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 t="s">
        <v>38</v>
      </c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</row>
    <row r="5" spans="1:36" ht="14.1" customHeight="1" x14ac:dyDescent="0.25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</row>
    <row r="6" spans="1:36" ht="14.1" customHeight="1" x14ac:dyDescent="0.25">
      <c r="A6" s="5" t="s">
        <v>2</v>
      </c>
      <c r="B6" s="5"/>
      <c r="C6" s="5"/>
      <c r="D6" s="5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</row>
    <row r="7" spans="1:36" ht="14.1" customHeight="1" x14ac:dyDescent="0.25">
      <c r="A7" s="5" t="s">
        <v>3</v>
      </c>
      <c r="B7" s="5"/>
      <c r="C7" s="5"/>
      <c r="D7" s="5"/>
      <c r="E7" s="6" t="str">
        <f>VLOOKUP("Geometry.Type",System!$A:$B,2,FALSE)</f>
        <v>Circle</v>
      </c>
      <c r="F7" s="6"/>
      <c r="G7" s="6"/>
      <c r="H7" s="6"/>
      <c r="I7" s="6"/>
      <c r="J7" s="6"/>
      <c r="K7" s="6"/>
      <c r="L7" s="6"/>
      <c r="M7" s="6" t="s">
        <v>5</v>
      </c>
      <c r="N7" s="6"/>
      <c r="O7" s="6"/>
      <c r="P7" s="6"/>
      <c r="Q7" s="6"/>
      <c r="R7" s="3"/>
      <c r="S7" s="5" t="s">
        <v>39</v>
      </c>
      <c r="T7" s="5"/>
      <c r="U7" s="5"/>
      <c r="V7" s="5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3"/>
    </row>
    <row r="8" spans="1:36" ht="14.1" customHeight="1" x14ac:dyDescent="0.25">
      <c r="A8" s="5" t="s">
        <v>6</v>
      </c>
      <c r="B8" s="5"/>
      <c r="C8" s="5"/>
      <c r="D8" s="5"/>
      <c r="E8" s="6"/>
      <c r="F8" s="6"/>
      <c r="G8" s="6"/>
      <c r="H8" s="6"/>
      <c r="I8" s="6" t="s">
        <v>7</v>
      </c>
      <c r="J8" s="6"/>
      <c r="K8" s="6"/>
      <c r="L8" s="6"/>
      <c r="M8" s="6"/>
      <c r="N8" s="6"/>
      <c r="O8" s="6"/>
      <c r="P8" s="6"/>
      <c r="Q8" s="6"/>
      <c r="R8" s="3"/>
      <c r="S8" s="5" t="s">
        <v>32</v>
      </c>
      <c r="T8" s="5"/>
      <c r="U8" s="5"/>
      <c r="V8" s="5"/>
      <c r="W8" s="6"/>
      <c r="X8" s="6"/>
      <c r="Y8" s="6"/>
      <c r="Z8" s="6"/>
      <c r="AA8" s="6" t="s">
        <v>40</v>
      </c>
      <c r="AB8" s="6"/>
      <c r="AC8" s="6"/>
      <c r="AD8" s="6"/>
      <c r="AE8" s="6"/>
      <c r="AF8" s="6"/>
      <c r="AG8" s="6"/>
      <c r="AH8" s="6"/>
      <c r="AI8" s="6"/>
      <c r="AJ8" s="3"/>
    </row>
    <row r="9" spans="1:36" ht="14.1" customHeight="1" x14ac:dyDescent="0.25">
      <c r="A9" s="5" t="s">
        <v>8</v>
      </c>
      <c r="B9" s="5"/>
      <c r="C9" s="5"/>
      <c r="D9" s="5"/>
      <c r="E9" s="6"/>
      <c r="F9" s="6"/>
      <c r="G9" s="6"/>
      <c r="H9" s="6"/>
      <c r="I9" s="6" t="s">
        <v>7</v>
      </c>
      <c r="J9" s="6"/>
      <c r="K9" s="6"/>
      <c r="L9" s="6"/>
      <c r="M9" s="6"/>
      <c r="N9" s="6"/>
      <c r="O9" s="6"/>
      <c r="P9" s="6"/>
      <c r="Q9" s="6"/>
      <c r="R9" s="3"/>
      <c r="S9" s="5" t="s">
        <v>33</v>
      </c>
      <c r="T9" s="5"/>
      <c r="U9" s="5"/>
      <c r="V9" s="5"/>
      <c r="W9" s="6"/>
      <c r="X9" s="6"/>
      <c r="Y9" s="6"/>
      <c r="Z9" s="6"/>
      <c r="AA9" s="6" t="s">
        <v>41</v>
      </c>
      <c r="AB9" s="6"/>
      <c r="AC9" s="6"/>
      <c r="AD9" s="6"/>
      <c r="AE9" s="6"/>
      <c r="AF9" s="6"/>
      <c r="AG9" s="6"/>
      <c r="AH9" s="6"/>
      <c r="AI9" s="6"/>
      <c r="AJ9" s="3"/>
    </row>
    <row r="10" spans="1:36" ht="14.1" customHeight="1" x14ac:dyDescent="0.25">
      <c r="A10" s="5" t="s">
        <v>9</v>
      </c>
      <c r="B10" s="5"/>
      <c r="C10" s="5"/>
      <c r="D10" s="5"/>
      <c r="E10" s="6"/>
      <c r="F10" s="6"/>
      <c r="G10" s="6"/>
      <c r="H10" s="6"/>
      <c r="I10" s="6" t="s">
        <v>7</v>
      </c>
      <c r="J10" s="6"/>
      <c r="K10" s="6"/>
      <c r="L10" s="6"/>
      <c r="M10" s="6"/>
      <c r="N10" s="6"/>
      <c r="O10" s="6"/>
      <c r="P10" s="6"/>
      <c r="Q10" s="6"/>
      <c r="R10" s="3"/>
      <c r="S10" s="5" t="s">
        <v>34</v>
      </c>
      <c r="T10" s="5"/>
      <c r="U10" s="5"/>
      <c r="V10" s="5"/>
      <c r="W10" s="6"/>
      <c r="X10" s="6"/>
      <c r="Y10" s="6"/>
      <c r="Z10" s="6"/>
      <c r="AA10" s="6" t="s">
        <v>41</v>
      </c>
      <c r="AB10" s="6"/>
      <c r="AC10" s="6"/>
      <c r="AD10" s="6"/>
      <c r="AE10" s="6"/>
      <c r="AF10" s="6"/>
      <c r="AG10" s="6"/>
      <c r="AH10" s="6"/>
      <c r="AI10" s="6"/>
      <c r="AJ10" s="3"/>
    </row>
    <row r="11" spans="1:36" ht="14.1" customHeight="1" x14ac:dyDescent="0.25">
      <c r="A11" s="5" t="s">
        <v>10</v>
      </c>
      <c r="B11" s="5"/>
      <c r="C11" s="5"/>
      <c r="D11" s="5"/>
      <c r="E11" s="6"/>
      <c r="F11" s="6"/>
      <c r="G11" s="6"/>
      <c r="H11" s="6"/>
      <c r="I11" s="6" t="s">
        <v>7</v>
      </c>
      <c r="J11" s="6"/>
      <c r="K11" s="6"/>
      <c r="L11" s="6"/>
      <c r="M11" s="6"/>
      <c r="N11" s="6"/>
      <c r="O11" s="6"/>
      <c r="P11" s="6"/>
      <c r="Q11" s="6"/>
      <c r="R11" s="3"/>
      <c r="S11" s="5" t="s">
        <v>42</v>
      </c>
      <c r="T11" s="5"/>
      <c r="U11" s="5"/>
      <c r="V11" s="5"/>
      <c r="W11" s="6" t="s">
        <v>43</v>
      </c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3"/>
    </row>
    <row r="12" spans="1:36" ht="14.1" customHeight="1" x14ac:dyDescent="0.25">
      <c r="A12" s="5" t="s">
        <v>11</v>
      </c>
      <c r="B12" s="5"/>
      <c r="C12" s="5"/>
      <c r="D12" s="5"/>
      <c r="E12" s="6"/>
      <c r="F12" s="6"/>
      <c r="G12" s="6"/>
      <c r="H12" s="6"/>
      <c r="I12" s="6" t="s">
        <v>7</v>
      </c>
      <c r="J12" s="6"/>
      <c r="K12" s="6"/>
      <c r="L12" s="6"/>
      <c r="M12" s="6"/>
      <c r="N12" s="6"/>
      <c r="O12" s="6"/>
      <c r="P12" s="6"/>
      <c r="Q12" s="6"/>
      <c r="R12" s="3"/>
      <c r="S12" s="5" t="s">
        <v>44</v>
      </c>
      <c r="T12" s="5"/>
      <c r="U12" s="5"/>
      <c r="V12" s="5"/>
      <c r="W12" s="6" t="s">
        <v>45</v>
      </c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3"/>
    </row>
    <row r="13" spans="1:36" ht="14.1" customHeight="1" x14ac:dyDescent="0.25">
      <c r="A13" s="5" t="s">
        <v>12</v>
      </c>
      <c r="B13" s="5"/>
      <c r="C13" s="5"/>
      <c r="D13" s="5"/>
      <c r="E13" s="6"/>
      <c r="F13" s="6"/>
      <c r="G13" s="6"/>
      <c r="H13" s="6"/>
      <c r="I13" s="6" t="s">
        <v>7</v>
      </c>
      <c r="J13" s="6"/>
      <c r="K13" s="6"/>
      <c r="L13" s="6"/>
      <c r="M13" s="6"/>
      <c r="N13" s="6"/>
      <c r="O13" s="6"/>
      <c r="P13" s="6"/>
      <c r="Q13" s="6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</row>
    <row r="14" spans="1:36" ht="14.1" customHeight="1" x14ac:dyDescent="0.25">
      <c r="A14" s="5" t="s">
        <v>13</v>
      </c>
      <c r="B14" s="5"/>
      <c r="C14" s="5"/>
      <c r="D14" s="5"/>
      <c r="E14" s="6">
        <f>VLOOKUP("Circle.Diameter",System!$A:$B,2,FALSE)</f>
        <v>300</v>
      </c>
      <c r="F14" s="6"/>
      <c r="G14" s="6"/>
      <c r="H14" s="6"/>
      <c r="I14" s="6" t="s">
        <v>7</v>
      </c>
      <c r="J14" s="6"/>
      <c r="K14" s="6"/>
      <c r="L14" s="6"/>
      <c r="M14" s="6" t="s">
        <v>14</v>
      </c>
      <c r="N14" s="6"/>
      <c r="O14" s="6"/>
      <c r="P14" s="6"/>
      <c r="Q14" s="6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</row>
    <row r="15" spans="1:36" ht="14.1" customHeight="1" x14ac:dyDescent="0.25">
      <c r="A15" s="5" t="s">
        <v>15</v>
      </c>
      <c r="B15" s="5"/>
      <c r="C15" s="5"/>
      <c r="D15" s="5"/>
      <c r="E15" s="6">
        <f>VLOOKUP("Circle.CenterX",System!$A:$B,2,FALSE)</f>
        <v>0</v>
      </c>
      <c r="F15" s="6"/>
      <c r="G15" s="6"/>
      <c r="H15" s="6"/>
      <c r="I15" s="6" t="s">
        <v>7</v>
      </c>
      <c r="J15" s="6"/>
      <c r="K15" s="6"/>
      <c r="L15" s="6"/>
      <c r="M15" s="6" t="s">
        <v>14</v>
      </c>
      <c r="N15" s="6"/>
      <c r="O15" s="6"/>
      <c r="P15" s="6"/>
      <c r="Q15" s="6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</row>
    <row r="16" spans="1:36" ht="14.1" customHeight="1" x14ac:dyDescent="0.25">
      <c r="A16" s="5" t="s">
        <v>16</v>
      </c>
      <c r="B16" s="5"/>
      <c r="C16" s="5"/>
      <c r="D16" s="5"/>
      <c r="E16" s="6">
        <f>VLOOKUP("Circle.CenterY",System!$A:$B,2,FALSE)</f>
        <v>0</v>
      </c>
      <c r="F16" s="6"/>
      <c r="G16" s="6"/>
      <c r="H16" s="6"/>
      <c r="I16" s="6" t="s">
        <v>7</v>
      </c>
      <c r="J16" s="6"/>
      <c r="K16" s="6"/>
      <c r="L16" s="6"/>
      <c r="M16" s="6" t="s">
        <v>14</v>
      </c>
      <c r="N16" s="6"/>
      <c r="O16" s="6"/>
      <c r="P16" s="6"/>
      <c r="Q16" s="6"/>
      <c r="R16" s="3"/>
      <c r="S16" s="4" t="s">
        <v>46</v>
      </c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</row>
    <row r="17" spans="1:36" ht="14.1" customHeight="1" x14ac:dyDescent="0.25">
      <c r="A17" s="5" t="s">
        <v>17</v>
      </c>
      <c r="B17" s="5"/>
      <c r="C17" s="5"/>
      <c r="D17" s="5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</row>
    <row r="18" spans="1:36" ht="14.1" customHeight="1" x14ac:dyDescent="0.25">
      <c r="A18" s="5" t="s">
        <v>18</v>
      </c>
      <c r="B18" s="5"/>
      <c r="C18" s="5"/>
      <c r="D18" s="5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3"/>
      <c r="S18" s="7" t="s">
        <v>47</v>
      </c>
      <c r="T18" s="7"/>
      <c r="U18" s="7"/>
      <c r="V18" s="7"/>
      <c r="W18" s="7" t="s">
        <v>48</v>
      </c>
      <c r="X18" s="7"/>
      <c r="Y18" s="7"/>
      <c r="Z18" s="7"/>
      <c r="AA18" s="7" t="s">
        <v>49</v>
      </c>
      <c r="AB18" s="7"/>
      <c r="AC18" s="7"/>
      <c r="AD18" s="7"/>
      <c r="AE18" s="7" t="s">
        <v>50</v>
      </c>
      <c r="AF18" s="7"/>
      <c r="AG18" s="7"/>
      <c r="AH18" s="7"/>
      <c r="AI18" s="3"/>
      <c r="AJ18" s="3"/>
    </row>
    <row r="19" spans="1:36" ht="14.1" customHeight="1" x14ac:dyDescent="0.25">
      <c r="A19" s="5" t="s">
        <v>19</v>
      </c>
      <c r="B19" s="5"/>
      <c r="C19" s="5"/>
      <c r="D19" s="5"/>
      <c r="E19" s="6"/>
      <c r="F19" s="6"/>
      <c r="G19" s="6"/>
      <c r="H19" s="6"/>
      <c r="I19" s="6" t="s">
        <v>7</v>
      </c>
      <c r="J19" s="6"/>
      <c r="K19" s="6"/>
      <c r="L19" s="6"/>
      <c r="M19" s="6"/>
      <c r="N19" s="6"/>
      <c r="O19" s="6"/>
      <c r="P19" s="6"/>
      <c r="Q19" s="6"/>
      <c r="R19" s="3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3"/>
      <c r="AJ19" s="3"/>
    </row>
    <row r="20" spans="1:36" ht="14.1" customHeight="1" x14ac:dyDescent="0.25">
      <c r="A20" s="5" t="s">
        <v>20</v>
      </c>
      <c r="B20" s="5"/>
      <c r="C20" s="5"/>
      <c r="D20" s="5"/>
      <c r="E20" s="6"/>
      <c r="F20" s="6"/>
      <c r="G20" s="6"/>
      <c r="H20" s="6"/>
      <c r="I20" s="6" t="s">
        <v>7</v>
      </c>
      <c r="J20" s="6"/>
      <c r="K20" s="6"/>
      <c r="L20" s="6"/>
      <c r="M20" s="6" t="s">
        <v>21</v>
      </c>
      <c r="N20" s="6"/>
      <c r="O20" s="6"/>
      <c r="P20" s="6"/>
      <c r="Q20" s="6"/>
      <c r="R20" s="3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3"/>
      <c r="AJ20" s="3"/>
    </row>
    <row r="21" spans="1:36" ht="14.1" customHeight="1" x14ac:dyDescent="0.25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3"/>
      <c r="AJ21" s="3"/>
    </row>
    <row r="22" spans="1:36" ht="14.1" customHeight="1" x14ac:dyDescent="0.25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3"/>
      <c r="AJ22" s="3"/>
    </row>
    <row r="23" spans="1:36" ht="14.1" customHeight="1" x14ac:dyDescent="0.25">
      <c r="A23" s="4" t="s">
        <v>22</v>
      </c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3"/>
      <c r="AJ23" s="3"/>
    </row>
    <row r="24" spans="1:36" ht="14.1" customHeight="1" x14ac:dyDescent="0.25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3"/>
      <c r="AJ24" s="3"/>
    </row>
    <row r="25" spans="1:36" ht="14.1" customHeight="1" x14ac:dyDescent="0.25">
      <c r="A25" s="8" t="s">
        <v>23</v>
      </c>
      <c r="B25" s="8" t="s">
        <v>24</v>
      </c>
      <c r="C25" s="8" t="s">
        <v>25</v>
      </c>
      <c r="D25" s="8" t="s">
        <v>26</v>
      </c>
      <c r="E25" s="8" t="s">
        <v>27</v>
      </c>
      <c r="F25" s="8" t="s">
        <v>28</v>
      </c>
      <c r="G25" s="8" t="s">
        <v>29</v>
      </c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3"/>
      <c r="AJ25" s="3"/>
    </row>
    <row r="26" spans="1:36" ht="14.1" customHeight="1" x14ac:dyDescent="0.25">
      <c r="A26" s="6"/>
      <c r="B26" s="6"/>
      <c r="C26" s="6"/>
      <c r="D26" s="6"/>
      <c r="E26" s="6"/>
      <c r="F26" s="6"/>
      <c r="G26" s="6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3"/>
      <c r="AJ26" s="3"/>
    </row>
    <row r="27" spans="1:36" ht="14.1" customHeight="1" x14ac:dyDescent="0.25">
      <c r="A27" s="6"/>
      <c r="B27" s="6"/>
      <c r="C27" s="6"/>
      <c r="D27" s="6"/>
      <c r="E27" s="6"/>
      <c r="F27" s="6"/>
      <c r="G27" s="6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3"/>
      <c r="AJ27" s="3"/>
    </row>
    <row r="28" spans="1:36" ht="14.1" customHeight="1" x14ac:dyDescent="0.25">
      <c r="A28" s="6"/>
      <c r="B28" s="6"/>
      <c r="C28" s="6"/>
      <c r="D28" s="6"/>
      <c r="E28" s="6"/>
      <c r="F28" s="6"/>
      <c r="G28" s="6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3"/>
      <c r="AJ28" s="3"/>
    </row>
    <row r="29" spans="1:36" ht="14.1" customHeight="1" x14ac:dyDescent="0.25">
      <c r="A29" s="6"/>
      <c r="B29" s="6"/>
      <c r="C29" s="6"/>
      <c r="D29" s="6"/>
      <c r="E29" s="6"/>
      <c r="F29" s="6"/>
      <c r="G29" s="6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3"/>
      <c r="AJ29" s="3"/>
    </row>
    <row r="30" spans="1:36" ht="14.1" customHeight="1" x14ac:dyDescent="0.25">
      <c r="A30" s="6"/>
      <c r="B30" s="6"/>
      <c r="C30" s="6"/>
      <c r="D30" s="6"/>
      <c r="E30" s="6"/>
      <c r="F30" s="6"/>
      <c r="G30" s="6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3"/>
      <c r="AJ30" s="3"/>
    </row>
    <row r="31" spans="1:36" ht="14.1" customHeight="1" x14ac:dyDescent="0.25">
      <c r="A31" s="6"/>
      <c r="B31" s="6"/>
      <c r="C31" s="6"/>
      <c r="D31" s="6"/>
      <c r="E31" s="6"/>
      <c r="F31" s="6"/>
      <c r="G31" s="6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3"/>
      <c r="AJ31" s="3"/>
    </row>
    <row r="32" spans="1:36" ht="14.1" customHeight="1" x14ac:dyDescent="0.25">
      <c r="A32" s="6"/>
      <c r="B32" s="6"/>
      <c r="C32" s="6"/>
      <c r="D32" s="6"/>
      <c r="E32" s="6"/>
      <c r="F32" s="6"/>
      <c r="G32" s="6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3"/>
      <c r="AJ32" s="3"/>
    </row>
    <row r="33" spans="1:36" ht="14.1" customHeight="1" x14ac:dyDescent="0.25">
      <c r="A33" s="6"/>
      <c r="B33" s="6"/>
      <c r="C33" s="6"/>
      <c r="D33" s="6"/>
      <c r="E33" s="6"/>
      <c r="F33" s="6"/>
      <c r="G33" s="6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3"/>
      <c r="AJ33" s="3"/>
    </row>
    <row r="34" spans="1:36" ht="14.1" customHeight="1" x14ac:dyDescent="0.25">
      <c r="A34" s="6"/>
      <c r="B34" s="6"/>
      <c r="C34" s="6"/>
      <c r="D34" s="6"/>
      <c r="E34" s="6"/>
      <c r="F34" s="6"/>
      <c r="G34" s="6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3"/>
      <c r="AJ34" s="3"/>
    </row>
    <row r="35" spans="1:36" ht="14.1" customHeight="1" x14ac:dyDescent="0.25">
      <c r="A35" s="6"/>
      <c r="B35" s="6"/>
      <c r="C35" s="6"/>
      <c r="D35" s="6"/>
      <c r="E35" s="6"/>
      <c r="F35" s="6"/>
      <c r="G35" s="6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3"/>
      <c r="AJ35" s="3"/>
    </row>
    <row r="36" spans="1:36" ht="14.1" customHeight="1" x14ac:dyDescent="0.25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9" t="s">
        <v>51</v>
      </c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</row>
    <row r="37" spans="1:36" ht="14.1" customHeight="1" x14ac:dyDescent="0.25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</row>
    <row r="38" spans="1:36" ht="14.1" customHeight="1" x14ac:dyDescent="0.25">
      <c r="A38" s="4" t="s">
        <v>30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</row>
    <row r="39" spans="1:36" ht="14.1" customHeight="1" x14ac:dyDescent="0.25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</row>
    <row r="40" spans="1:36" ht="14.1" customHeight="1" x14ac:dyDescent="0.25">
      <c r="A40" s="8" t="s">
        <v>31</v>
      </c>
      <c r="B40" s="8" t="s">
        <v>32</v>
      </c>
      <c r="C40" s="8" t="s">
        <v>33</v>
      </c>
      <c r="D40" s="8" t="s">
        <v>34</v>
      </c>
      <c r="E40" s="8" t="s">
        <v>35</v>
      </c>
      <c r="F40" s="8" t="s">
        <v>36</v>
      </c>
      <c r="G40" s="8" t="s">
        <v>29</v>
      </c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</row>
    <row r="41" spans="1:36" ht="14.1" customHeight="1" x14ac:dyDescent="0.25">
      <c r="A41" s="6"/>
      <c r="B41" s="6"/>
      <c r="C41" s="6"/>
      <c r="D41" s="6"/>
      <c r="E41" s="6"/>
      <c r="F41" s="6"/>
      <c r="G41" s="6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</row>
    <row r="42" spans="1:36" ht="14.1" customHeight="1" x14ac:dyDescent="0.25">
      <c r="A42" s="6"/>
      <c r="B42" s="6"/>
      <c r="C42" s="6"/>
      <c r="D42" s="6"/>
      <c r="E42" s="6"/>
      <c r="F42" s="6"/>
      <c r="G42" s="6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</row>
    <row r="43" spans="1:36" ht="14.1" customHeight="1" x14ac:dyDescent="0.25">
      <c r="A43" s="6"/>
      <c r="B43" s="6"/>
      <c r="C43" s="6"/>
      <c r="D43" s="6"/>
      <c r="E43" s="6"/>
      <c r="F43" s="6"/>
      <c r="G43" s="6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</row>
    <row r="44" spans="1:36" ht="14.1" customHeight="1" x14ac:dyDescent="0.25">
      <c r="A44" s="6"/>
      <c r="B44" s="6"/>
      <c r="C44" s="6"/>
      <c r="D44" s="6"/>
      <c r="E44" s="6"/>
      <c r="F44" s="6"/>
      <c r="G44" s="6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</row>
    <row r="45" spans="1:36" ht="14.1" customHeight="1" x14ac:dyDescent="0.25">
      <c r="A45" s="6"/>
      <c r="B45" s="6"/>
      <c r="C45" s="6"/>
      <c r="D45" s="6"/>
      <c r="E45" s="6"/>
      <c r="F45" s="6"/>
      <c r="G45" s="6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</row>
    <row r="46" spans="1:36" ht="14.1" customHeight="1" x14ac:dyDescent="0.25">
      <c r="A46" s="6"/>
      <c r="B46" s="6"/>
      <c r="C46" s="6"/>
      <c r="D46" s="6"/>
      <c r="E46" s="6"/>
      <c r="F46" s="6"/>
      <c r="G46" s="6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</row>
    <row r="47" spans="1:36" ht="14.1" customHeight="1" x14ac:dyDescent="0.25">
      <c r="A47" s="6"/>
      <c r="B47" s="6"/>
      <c r="C47" s="6"/>
      <c r="D47" s="6"/>
      <c r="E47" s="6"/>
      <c r="F47" s="6"/>
      <c r="G47" s="6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</row>
    <row r="48" spans="1:36" ht="14.1" customHeight="1" x14ac:dyDescent="0.25">
      <c r="A48" s="6"/>
      <c r="B48" s="6"/>
      <c r="C48" s="6"/>
      <c r="D48" s="6"/>
      <c r="E48" s="6"/>
      <c r="F48" s="6"/>
      <c r="G48" s="6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</row>
    <row r="49" spans="1:36" ht="14.1" customHeight="1" x14ac:dyDescent="0.25">
      <c r="A49" s="6"/>
      <c r="B49" s="6"/>
      <c r="C49" s="6"/>
      <c r="D49" s="6"/>
      <c r="E49" s="6"/>
      <c r="F49" s="6"/>
      <c r="G49" s="6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</row>
    <row r="50" spans="1:36" ht="14.1" customHeight="1" x14ac:dyDescent="0.25">
      <c r="A50" s="6"/>
      <c r="B50" s="6"/>
      <c r="C50" s="6"/>
      <c r="D50" s="6"/>
      <c r="E50" s="6"/>
      <c r="F50" s="6"/>
      <c r="G50" s="6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</row>
    <row r="51" spans="1:36" x14ac:dyDescent="0.25">
      <c r="A51" s="6"/>
      <c r="B51" s="6"/>
      <c r="C51" s="6"/>
      <c r="D51" s="6"/>
      <c r="E51" s="6"/>
      <c r="F51" s="6"/>
      <c r="G51" s="6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</row>
    <row r="52" spans="1:36" x14ac:dyDescent="0.25">
      <c r="A52" s="6"/>
      <c r="B52" s="6"/>
      <c r="C52" s="6"/>
      <c r="D52" s="6"/>
      <c r="E52" s="6"/>
      <c r="F52" s="6"/>
      <c r="G52" s="6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</row>
    <row r="53" spans="1:36" x14ac:dyDescent="0.25">
      <c r="A53" s="6"/>
      <c r="B53" s="6"/>
      <c r="C53" s="6"/>
      <c r="D53" s="6"/>
      <c r="E53" s="6"/>
      <c r="F53" s="6"/>
      <c r="G53" s="6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</row>
    <row r="54" spans="1:36" x14ac:dyDescent="0.25">
      <c r="A54" s="6"/>
      <c r="B54" s="6"/>
      <c r="C54" s="6"/>
      <c r="D54" s="6"/>
      <c r="E54" s="6"/>
      <c r="F54" s="6"/>
      <c r="G54" s="6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</row>
    <row r="55" spans="1:36" x14ac:dyDescent="0.25">
      <c r="A55" s="6"/>
      <c r="B55" s="6"/>
      <c r="C55" s="6"/>
      <c r="D55" s="6"/>
      <c r="E55" s="6"/>
      <c r="F55" s="6"/>
      <c r="G55" s="6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</row>
    <row r="56" spans="1:36" x14ac:dyDescent="0.25">
      <c r="A56" s="6"/>
      <c r="B56" s="6"/>
      <c r="C56" s="6"/>
      <c r="D56" s="6"/>
      <c r="E56" s="6"/>
      <c r="F56" s="6"/>
      <c r="G56" s="6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</row>
    <row r="57" spans="1:36" x14ac:dyDescent="0.25">
      <c r="A57" s="6"/>
      <c r="B57" s="6"/>
      <c r="C57" s="6"/>
      <c r="D57" s="6"/>
      <c r="E57" s="6"/>
      <c r="F57" s="6"/>
      <c r="G57" s="6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</row>
    <row r="58" spans="1:36" x14ac:dyDescent="0.25">
      <c r="A58" s="6"/>
      <c r="B58" s="6"/>
      <c r="C58" s="6"/>
      <c r="D58" s="6"/>
      <c r="E58" s="6"/>
      <c r="F58" s="6"/>
      <c r="G58" s="6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</row>
    <row r="59" spans="1:36" x14ac:dyDescent="0.25">
      <c r="A59" s="6"/>
      <c r="B59" s="6"/>
      <c r="C59" s="6"/>
      <c r="D59" s="6"/>
      <c r="E59" s="6"/>
      <c r="F59" s="6"/>
      <c r="G59" s="6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</row>
    <row r="60" spans="1:36" x14ac:dyDescent="0.25">
      <c r="A60" s="6"/>
      <c r="B60" s="6"/>
      <c r="C60" s="6"/>
      <c r="D60" s="6"/>
      <c r="E60" s="6"/>
      <c r="F60" s="6"/>
      <c r="G60" s="6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</row>
  </sheetData>
  <mergeCells count="12">
    <mergeCell ref="AE18:AH18"/>
    <mergeCell ref="S36:AJ36"/>
    <mergeCell ref="A1:R2"/>
    <mergeCell ref="A4:R4"/>
    <mergeCell ref="A23:R23"/>
    <mergeCell ref="A38:R38"/>
    <mergeCell ref="S1:AJ2"/>
    <mergeCell ref="S4:AJ4"/>
    <mergeCell ref="S16:AJ16"/>
    <mergeCell ref="S18:V18"/>
    <mergeCell ref="W18:Z18"/>
    <mergeCell ref="AA18:AD18"/>
  </mergeCells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C9EBD7-8755-4CBC-8F22-BE09FA876566}">
  <sheetPr codeName="Лист2"/>
  <dimension ref="A1:O260"/>
  <sheetViews>
    <sheetView workbookViewId="0"/>
  </sheetViews>
  <sheetFormatPr defaultRowHeight="15" x14ac:dyDescent="0.25"/>
  <cols>
    <col min="1" max="1" width="32.7109375" customWidth="1"/>
    <col min="2" max="2" width="18.7109375" customWidth="1"/>
    <col min="3" max="3" width="22.7109375" customWidth="1"/>
    <col min="4" max="4" width="14.7109375" customWidth="1"/>
    <col min="5" max="5" width="48.7109375" customWidth="1"/>
    <col min="6" max="6" width="34.7109375" customWidth="1"/>
    <col min="7" max="7" width="22.7109375" customWidth="1"/>
    <col min="8" max="13" width="0" hidden="1" customWidth="1"/>
  </cols>
  <sheetData>
    <row r="1" spans="1:15" x14ac:dyDescent="0.25">
      <c r="A1" s="11" t="s">
        <v>52</v>
      </c>
      <c r="B1" s="2"/>
      <c r="C1" s="2"/>
      <c r="D1" s="2"/>
      <c r="E1" s="2"/>
      <c r="F1" s="2"/>
      <c r="G1" s="2"/>
      <c r="H1" s="2" t="s">
        <v>4</v>
      </c>
      <c r="I1" s="2" t="s">
        <v>87</v>
      </c>
      <c r="J1" s="2" t="s">
        <v>125</v>
      </c>
      <c r="K1" s="2" t="s">
        <v>138</v>
      </c>
      <c r="L1" s="2" t="s">
        <v>138</v>
      </c>
      <c r="M1" s="2" t="s">
        <v>138</v>
      </c>
      <c r="N1" s="2"/>
      <c r="O1" s="2"/>
    </row>
    <row r="2" spans="1:15" x14ac:dyDescent="0.25">
      <c r="A2" s="2"/>
      <c r="B2" s="2"/>
      <c r="C2" s="2"/>
      <c r="D2" s="2"/>
      <c r="E2" s="2"/>
      <c r="F2" s="2"/>
      <c r="G2" s="2"/>
      <c r="H2" s="2" t="s">
        <v>56</v>
      </c>
      <c r="I2" s="2" t="s">
        <v>181</v>
      </c>
      <c r="J2" s="2" t="s">
        <v>182</v>
      </c>
      <c r="K2" s="2" t="s">
        <v>150</v>
      </c>
      <c r="L2" s="2" t="s">
        <v>150</v>
      </c>
      <c r="M2" s="2" t="s">
        <v>150</v>
      </c>
      <c r="N2" s="2"/>
      <c r="O2" s="2"/>
    </row>
    <row r="3" spans="1:15" x14ac:dyDescent="0.25">
      <c r="A3" s="12" t="s">
        <v>53</v>
      </c>
      <c r="B3" s="12" t="s">
        <v>48</v>
      </c>
      <c r="C3" s="12" t="s">
        <v>49</v>
      </c>
      <c r="D3" s="12" t="s">
        <v>50</v>
      </c>
      <c r="E3" s="2"/>
      <c r="F3" s="2"/>
      <c r="G3" s="2"/>
      <c r="H3" s="2"/>
      <c r="I3" s="2"/>
      <c r="J3" s="2" t="s">
        <v>183</v>
      </c>
      <c r="K3" s="2"/>
      <c r="L3" s="2"/>
      <c r="M3" s="2"/>
      <c r="N3" s="2"/>
      <c r="O3" s="2"/>
    </row>
    <row r="4" spans="1:15" x14ac:dyDescent="0.25">
      <c r="A4" s="13" t="s">
        <v>54</v>
      </c>
      <c r="B4" s="13"/>
      <c r="C4" s="13"/>
      <c r="D4" s="13"/>
      <c r="E4" s="2"/>
      <c r="F4" s="2"/>
      <c r="G4" s="2"/>
      <c r="H4" s="2"/>
      <c r="I4" s="2"/>
      <c r="J4" s="2"/>
      <c r="K4" s="2"/>
      <c r="L4" s="2"/>
      <c r="M4" s="2"/>
      <c r="N4" s="2"/>
      <c r="O4" s="2"/>
    </row>
    <row r="5" spans="1:15" x14ac:dyDescent="0.25">
      <c r="A5" s="2" t="s">
        <v>55</v>
      </c>
      <c r="B5" s="2" t="s">
        <v>56</v>
      </c>
      <c r="C5" s="2"/>
      <c r="D5" s="2" t="s">
        <v>57</v>
      </c>
      <c r="E5" s="2"/>
      <c r="F5" s="2"/>
      <c r="G5" s="2"/>
      <c r="H5" s="2"/>
      <c r="I5" s="2"/>
      <c r="J5" s="2"/>
      <c r="K5" s="2"/>
      <c r="L5" s="2"/>
      <c r="M5" s="2"/>
      <c r="N5" s="2"/>
      <c r="O5" s="2"/>
    </row>
    <row r="6" spans="1:15" x14ac:dyDescent="0.25">
      <c r="A6" s="2" t="s">
        <v>58</v>
      </c>
      <c r="B6" s="2">
        <v>300</v>
      </c>
      <c r="C6" s="2" t="s">
        <v>7</v>
      </c>
      <c r="D6" s="2" t="s">
        <v>59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</row>
    <row r="7" spans="1:15" x14ac:dyDescent="0.25">
      <c r="A7" s="2" t="s">
        <v>60</v>
      </c>
      <c r="B7" s="2">
        <v>0</v>
      </c>
      <c r="C7" s="2" t="s">
        <v>7</v>
      </c>
      <c r="D7" s="2" t="s">
        <v>61</v>
      </c>
      <c r="E7" s="2"/>
      <c r="F7" s="2"/>
      <c r="G7" s="2"/>
      <c r="H7" s="2"/>
      <c r="I7" s="2"/>
      <c r="J7" s="2"/>
      <c r="K7" s="2"/>
      <c r="L7" s="2"/>
      <c r="M7" s="2"/>
      <c r="N7" s="2"/>
      <c r="O7" s="2"/>
    </row>
    <row r="8" spans="1:15" x14ac:dyDescent="0.25">
      <c r="A8" s="2" t="s">
        <v>62</v>
      </c>
      <c r="B8" s="2">
        <v>0</v>
      </c>
      <c r="C8" s="2" t="s">
        <v>7</v>
      </c>
      <c r="D8" s="2" t="s">
        <v>63</v>
      </c>
      <c r="E8" s="2"/>
      <c r="F8" s="2"/>
      <c r="G8" s="2"/>
      <c r="H8" s="2"/>
      <c r="I8" s="2"/>
      <c r="J8" s="2"/>
      <c r="K8" s="2"/>
      <c r="L8" s="2"/>
      <c r="M8" s="2"/>
      <c r="N8" s="2"/>
      <c r="O8" s="2"/>
    </row>
    <row r="9" spans="1:15" x14ac:dyDescent="0.25">
      <c r="A9" s="2" t="s">
        <v>64</v>
      </c>
      <c r="B9" s="2">
        <v>20</v>
      </c>
      <c r="C9" s="2" t="s">
        <v>7</v>
      </c>
      <c r="D9" s="2" t="s">
        <v>65</v>
      </c>
      <c r="E9" s="2"/>
      <c r="F9" s="2"/>
      <c r="G9" s="2"/>
      <c r="H9" s="2"/>
      <c r="I9" s="2"/>
      <c r="J9" s="2"/>
      <c r="K9" s="2"/>
      <c r="L9" s="2"/>
      <c r="M9" s="2"/>
      <c r="N9" s="2"/>
      <c r="O9" s="2"/>
    </row>
    <row r="10" spans="1:15" x14ac:dyDescent="0.25">
      <c r="A10" s="2" t="s">
        <v>66</v>
      </c>
      <c r="B10" s="2">
        <v>20</v>
      </c>
      <c r="C10" s="2" t="s">
        <v>7</v>
      </c>
      <c r="D10" s="2" t="s">
        <v>67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</row>
    <row r="11" spans="1:15" x14ac:dyDescent="0.25">
      <c r="A11" s="2" t="s">
        <v>68</v>
      </c>
      <c r="B11" s="2">
        <v>1</v>
      </c>
      <c r="C11" s="2" t="s">
        <v>69</v>
      </c>
      <c r="D11" s="2" t="s">
        <v>70</v>
      </c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</row>
    <row r="12" spans="1:15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</row>
    <row r="13" spans="1:15" x14ac:dyDescent="0.25">
      <c r="A13" s="13" t="s">
        <v>71</v>
      </c>
      <c r="B13" s="13"/>
      <c r="C13" s="13"/>
      <c r="D13" s="13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</row>
    <row r="14" spans="1:15" x14ac:dyDescent="0.25">
      <c r="A14" s="2" t="s">
        <v>72</v>
      </c>
      <c r="B14" s="2" t="s">
        <v>73</v>
      </c>
      <c r="C14" s="2"/>
      <c r="D14" s="2" t="s">
        <v>74</v>
      </c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</row>
    <row r="15" spans="1:15" x14ac:dyDescent="0.25">
      <c r="A15" s="2" t="s">
        <v>75</v>
      </c>
      <c r="B15" s="2">
        <v>15.5</v>
      </c>
      <c r="C15" s="2" t="s">
        <v>76</v>
      </c>
      <c r="D15" s="2" t="s">
        <v>77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</row>
    <row r="16" spans="1:15" x14ac:dyDescent="0.25">
      <c r="A16" s="2" t="s">
        <v>78</v>
      </c>
      <c r="B16" s="2">
        <v>1.1000000000000001</v>
      </c>
      <c r="C16" s="2" t="s">
        <v>76</v>
      </c>
      <c r="D16" s="2" t="s">
        <v>79</v>
      </c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</row>
    <row r="17" spans="1:15" x14ac:dyDescent="0.25">
      <c r="A17" s="2" t="s">
        <v>80</v>
      </c>
      <c r="B17" s="2">
        <v>22</v>
      </c>
      <c r="C17" s="2" t="s">
        <v>76</v>
      </c>
      <c r="D17" s="2" t="s">
        <v>81</v>
      </c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</row>
    <row r="18" spans="1:15" x14ac:dyDescent="0.25">
      <c r="A18" s="2" t="s">
        <v>82</v>
      </c>
      <c r="B18" s="2">
        <v>1.8</v>
      </c>
      <c r="C18" s="2" t="s">
        <v>76</v>
      </c>
      <c r="D18" s="2" t="s">
        <v>83</v>
      </c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</row>
    <row r="19" spans="1:15" x14ac:dyDescent="0.25">
      <c r="A19" s="2" t="s">
        <v>84</v>
      </c>
      <c r="B19" s="2">
        <v>32500</v>
      </c>
      <c r="C19" s="2" t="s">
        <v>76</v>
      </c>
      <c r="D19" s="2" t="s">
        <v>85</v>
      </c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</row>
    <row r="20" spans="1:15" x14ac:dyDescent="0.25">
      <c r="A20" s="2" t="s">
        <v>86</v>
      </c>
      <c r="B20" s="2" t="s">
        <v>87</v>
      </c>
      <c r="C20" s="2"/>
      <c r="D20" s="2" t="s">
        <v>88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</row>
    <row r="21" spans="1:15" x14ac:dyDescent="0.25">
      <c r="A21" s="2" t="s">
        <v>89</v>
      </c>
      <c r="B21" s="2">
        <v>-1.5E-3</v>
      </c>
      <c r="C21" s="2"/>
      <c r="D21" s="2" t="s">
        <v>90</v>
      </c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</row>
    <row r="22" spans="1:15" x14ac:dyDescent="0.25">
      <c r="A22" s="2" t="s">
        <v>91</v>
      </c>
      <c r="B22" s="2">
        <v>-15.5</v>
      </c>
      <c r="C22" s="2" t="s">
        <v>76</v>
      </c>
      <c r="D22" s="2" t="s">
        <v>92</v>
      </c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</row>
    <row r="23" spans="1:15" x14ac:dyDescent="0.25">
      <c r="A23" s="2" t="s">
        <v>93</v>
      </c>
      <c r="B23" s="2">
        <v>-2E-3</v>
      </c>
      <c r="C23" s="2"/>
      <c r="D23" s="2" t="s">
        <v>94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</row>
    <row r="24" spans="1:15" x14ac:dyDescent="0.25">
      <c r="A24" s="2" t="s">
        <v>95</v>
      </c>
      <c r="B24" s="2">
        <v>-15.5</v>
      </c>
      <c r="C24" s="2" t="s">
        <v>76</v>
      </c>
      <c r="D24" s="2" t="s">
        <v>96</v>
      </c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</row>
    <row r="25" spans="1:15" x14ac:dyDescent="0.25">
      <c r="A25" s="2" t="s">
        <v>97</v>
      </c>
      <c r="B25" s="2">
        <v>-3.5000000000000001E-3</v>
      </c>
      <c r="C25" s="2"/>
      <c r="D25" s="2" t="s">
        <v>98</v>
      </c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</row>
    <row r="26" spans="1:15" x14ac:dyDescent="0.25">
      <c r="A26" s="2" t="s">
        <v>99</v>
      </c>
      <c r="B26" s="2">
        <v>-15.5</v>
      </c>
      <c r="C26" s="2" t="s">
        <v>76</v>
      </c>
      <c r="D26" s="2" t="s">
        <v>100</v>
      </c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</row>
    <row r="27" spans="1:15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</row>
    <row r="28" spans="1:15" x14ac:dyDescent="0.25">
      <c r="A28" s="13" t="s">
        <v>101</v>
      </c>
      <c r="B28" s="13"/>
      <c r="C28" s="13"/>
      <c r="D28" s="13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</row>
    <row r="29" spans="1:15" x14ac:dyDescent="0.25">
      <c r="A29" s="2" t="s">
        <v>102</v>
      </c>
      <c r="B29" s="2" t="s">
        <v>103</v>
      </c>
      <c r="C29" s="2"/>
      <c r="D29" s="2" t="s">
        <v>104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</row>
    <row r="30" spans="1:15" x14ac:dyDescent="0.25">
      <c r="A30" s="2" t="s">
        <v>105</v>
      </c>
      <c r="B30" s="2">
        <v>350</v>
      </c>
      <c r="C30" s="2" t="s">
        <v>76</v>
      </c>
      <c r="D30" s="2" t="s">
        <v>106</v>
      </c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</row>
    <row r="31" spans="1:15" x14ac:dyDescent="0.25">
      <c r="A31" s="2" t="s">
        <v>107</v>
      </c>
      <c r="B31" s="2">
        <v>350</v>
      </c>
      <c r="C31" s="2" t="s">
        <v>76</v>
      </c>
      <c r="D31" s="2" t="s">
        <v>108</v>
      </c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</row>
    <row r="32" spans="1:15" x14ac:dyDescent="0.25">
      <c r="A32" s="2" t="s">
        <v>109</v>
      </c>
      <c r="B32" s="2">
        <v>200000</v>
      </c>
      <c r="C32" s="2" t="s">
        <v>76</v>
      </c>
      <c r="D32" s="2" t="s">
        <v>110</v>
      </c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</row>
    <row r="33" spans="1:15" x14ac:dyDescent="0.25">
      <c r="A33" s="2" t="s">
        <v>111</v>
      </c>
      <c r="B33" s="2">
        <v>1.75E-3</v>
      </c>
      <c r="C33" s="2"/>
      <c r="D33" s="2" t="s">
        <v>112</v>
      </c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</row>
    <row r="34" spans="1:15" x14ac:dyDescent="0.25">
      <c r="A34" s="2" t="s">
        <v>113</v>
      </c>
      <c r="B34" s="2">
        <v>350</v>
      </c>
      <c r="C34" s="2" t="s">
        <v>76</v>
      </c>
      <c r="D34" s="2" t="s">
        <v>114</v>
      </c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</row>
    <row r="35" spans="1:15" x14ac:dyDescent="0.25">
      <c r="A35" s="2" t="s">
        <v>115</v>
      </c>
      <c r="B35" s="2">
        <v>0.01</v>
      </c>
      <c r="C35" s="2"/>
      <c r="D35" s="2" t="s">
        <v>116</v>
      </c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</row>
    <row r="36" spans="1:15" x14ac:dyDescent="0.25">
      <c r="A36" s="2" t="s">
        <v>117</v>
      </c>
      <c r="B36" s="2">
        <v>350</v>
      </c>
      <c r="C36" s="2" t="s">
        <v>76</v>
      </c>
      <c r="D36" s="2" t="s">
        <v>118</v>
      </c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</row>
    <row r="37" spans="1:15" x14ac:dyDescent="0.25">
      <c r="A37" s="2" t="s">
        <v>119</v>
      </c>
      <c r="B37" s="2">
        <v>2.5000000000000001E-2</v>
      </c>
      <c r="C37" s="2"/>
      <c r="D37" s="2" t="s">
        <v>120</v>
      </c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</row>
    <row r="38" spans="1:15" x14ac:dyDescent="0.25">
      <c r="A38" s="2" t="s">
        <v>121</v>
      </c>
      <c r="B38" s="2">
        <v>350</v>
      </c>
      <c r="C38" s="2" t="s">
        <v>76</v>
      </c>
      <c r="D38" s="2" t="s">
        <v>122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</row>
    <row r="39" spans="1:15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</row>
    <row r="40" spans="1:15" x14ac:dyDescent="0.25">
      <c r="A40" s="13" t="s">
        <v>123</v>
      </c>
      <c r="B40" s="13"/>
      <c r="C40" s="13"/>
      <c r="D40" s="13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</row>
    <row r="41" spans="1:15" x14ac:dyDescent="0.25">
      <c r="A41" s="2" t="s">
        <v>124</v>
      </c>
      <c r="B41" s="2" t="s">
        <v>125</v>
      </c>
      <c r="C41" s="2"/>
      <c r="D41" s="2" t="s">
        <v>126</v>
      </c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</row>
    <row r="42" spans="1:15" x14ac:dyDescent="0.25">
      <c r="A42" s="2" t="s">
        <v>127</v>
      </c>
      <c r="B42" s="2">
        <v>40</v>
      </c>
      <c r="C42" s="2" t="s">
        <v>69</v>
      </c>
      <c r="D42" s="2" t="s">
        <v>128</v>
      </c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</row>
    <row r="43" spans="1:15" x14ac:dyDescent="0.25">
      <c r="A43" s="2" t="s">
        <v>129</v>
      </c>
      <c r="B43" s="2">
        <v>1</v>
      </c>
      <c r="C43" s="2" t="s">
        <v>69</v>
      </c>
      <c r="D43" s="2" t="s">
        <v>130</v>
      </c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</row>
    <row r="44" spans="1:15" x14ac:dyDescent="0.25">
      <c r="A44" s="2" t="s">
        <v>131</v>
      </c>
      <c r="B44" s="2">
        <v>1</v>
      </c>
      <c r="C44" s="2" t="s">
        <v>40</v>
      </c>
      <c r="D44" s="2" t="s">
        <v>132</v>
      </c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</row>
    <row r="45" spans="1:15" x14ac:dyDescent="0.25">
      <c r="A45" s="2" t="s">
        <v>133</v>
      </c>
      <c r="B45" s="2">
        <v>1000</v>
      </c>
      <c r="C45" s="2" t="s">
        <v>41</v>
      </c>
      <c r="D45" s="2" t="s">
        <v>134</v>
      </c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</row>
    <row r="46" spans="1:15" x14ac:dyDescent="0.25">
      <c r="A46" s="2" t="s">
        <v>135</v>
      </c>
      <c r="B46" s="2">
        <v>1000</v>
      </c>
      <c r="C46" s="2" t="s">
        <v>41</v>
      </c>
      <c r="D46" s="2" t="s">
        <v>136</v>
      </c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</row>
    <row r="47" spans="1:15" x14ac:dyDescent="0.25">
      <c r="A47" s="2" t="s">
        <v>137</v>
      </c>
      <c r="B47" s="2" t="s">
        <v>138</v>
      </c>
      <c r="C47" s="2"/>
      <c r="D47" s="2" t="s">
        <v>139</v>
      </c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</row>
    <row r="48" spans="1:15" x14ac:dyDescent="0.25">
      <c r="A48" s="2" t="s">
        <v>140</v>
      </c>
      <c r="B48" s="2">
        <v>1</v>
      </c>
      <c r="C48" s="2"/>
      <c r="D48" s="2" t="s">
        <v>141</v>
      </c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</row>
    <row r="49" spans="1:15" x14ac:dyDescent="0.25">
      <c r="A49" s="2" t="s">
        <v>142</v>
      </c>
      <c r="B49" s="2">
        <v>3.125E-2</v>
      </c>
      <c r="C49" s="2"/>
      <c r="D49" s="2" t="s">
        <v>143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</row>
    <row r="50" spans="1:15" x14ac:dyDescent="0.25">
      <c r="A50" s="2" t="s">
        <v>144</v>
      </c>
      <c r="B50" s="2">
        <v>5.0000000000000001E-4</v>
      </c>
      <c r="C50" s="2"/>
      <c r="D50" s="2" t="s">
        <v>145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</row>
    <row r="51" spans="1:15" x14ac:dyDescent="0.25">
      <c r="A51" s="2" t="s">
        <v>146</v>
      </c>
      <c r="B51" s="2">
        <v>1.0000000000000001E-5</v>
      </c>
      <c r="C51" s="2" t="s">
        <v>147</v>
      </c>
      <c r="D51" s="2" t="s">
        <v>148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</row>
    <row r="52" spans="1:15" x14ac:dyDescent="0.25">
      <c r="A52" s="2" t="s">
        <v>149</v>
      </c>
      <c r="B52" s="2" t="s">
        <v>150</v>
      </c>
      <c r="C52" s="2"/>
      <c r="D52" s="2" t="s">
        <v>151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</row>
    <row r="53" spans="1:15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</row>
    <row r="54" spans="1:15" x14ac:dyDescent="0.25">
      <c r="A54" s="13" t="s">
        <v>152</v>
      </c>
      <c r="B54" s="13"/>
      <c r="C54" s="13"/>
      <c r="D54" s="13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</row>
    <row r="55" spans="1:15" x14ac:dyDescent="0.25">
      <c r="A55" s="2" t="s">
        <v>153</v>
      </c>
      <c r="B55" s="2">
        <v>1</v>
      </c>
      <c r="C55" s="2"/>
      <c r="D55" s="2" t="s">
        <v>154</v>
      </c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</row>
    <row r="56" spans="1:15" x14ac:dyDescent="0.25">
      <c r="A56" s="2" t="s">
        <v>155</v>
      </c>
      <c r="B56" s="2">
        <v>64</v>
      </c>
      <c r="C56" s="2"/>
      <c r="D56" s="2" t="s">
        <v>156</v>
      </c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</row>
    <row r="57" spans="1:15" x14ac:dyDescent="0.25">
      <c r="A57" s="2" t="s">
        <v>157</v>
      </c>
      <c r="B57" s="2">
        <v>0.01</v>
      </c>
      <c r="C57" s="2"/>
      <c r="D57" s="2" t="s">
        <v>158</v>
      </c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</row>
    <row r="58" spans="1:15" x14ac:dyDescent="0.25">
      <c r="A58" s="2" t="s">
        <v>159</v>
      </c>
      <c r="B58" s="2">
        <v>0</v>
      </c>
      <c r="C58" s="2" t="s">
        <v>69</v>
      </c>
      <c r="D58" s="2" t="s">
        <v>160</v>
      </c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</row>
    <row r="59" spans="1:15" x14ac:dyDescent="0.25">
      <c r="A59" s="2" t="s">
        <v>161</v>
      </c>
      <c r="B59" s="2">
        <v>1</v>
      </c>
      <c r="C59" s="2" t="s">
        <v>69</v>
      </c>
      <c r="D59" s="2" t="s">
        <v>162</v>
      </c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</row>
    <row r="60" spans="1:15" x14ac:dyDescent="0.25">
      <c r="A60" s="2" t="s">
        <v>163</v>
      </c>
      <c r="B60" s="2">
        <v>60</v>
      </c>
      <c r="C60" s="2" t="s">
        <v>69</v>
      </c>
      <c r="D60" s="2" t="s">
        <v>164</v>
      </c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</row>
    <row r="61" spans="1:15" x14ac:dyDescent="0.25">
      <c r="A61" s="2" t="s">
        <v>165</v>
      </c>
      <c r="B61" s="2">
        <v>-3.5000000000000001E-3</v>
      </c>
      <c r="C61" s="2"/>
      <c r="D61" s="2" t="s">
        <v>166</v>
      </c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</row>
    <row r="62" spans="1:15" x14ac:dyDescent="0.25">
      <c r="A62" s="2" t="s">
        <v>167</v>
      </c>
      <c r="B62" s="2">
        <v>2.5000000000000001E-2</v>
      </c>
      <c r="C62" s="2"/>
      <c r="D62" s="2" t="s">
        <v>168</v>
      </c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</row>
    <row r="63" spans="1:15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</row>
    <row r="64" spans="1:15" x14ac:dyDescent="0.25">
      <c r="A64" s="13" t="s">
        <v>169</v>
      </c>
      <c r="B64" s="13"/>
      <c r="C64" s="13"/>
      <c r="D64" s="13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</row>
    <row r="65" spans="1:15" x14ac:dyDescent="0.25">
      <c r="A65" s="2" t="s">
        <v>170</v>
      </c>
      <c r="B65" s="2" t="s">
        <v>138</v>
      </c>
      <c r="C65" s="2"/>
      <c r="D65" s="2" t="s">
        <v>171</v>
      </c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</row>
    <row r="66" spans="1:15" x14ac:dyDescent="0.25">
      <c r="A66" s="2" t="s">
        <v>172</v>
      </c>
      <c r="B66" s="2">
        <v>0.3</v>
      </c>
      <c r="C66" s="2" t="s">
        <v>7</v>
      </c>
      <c r="D66" s="2" t="s">
        <v>173</v>
      </c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</row>
    <row r="67" spans="1:15" x14ac:dyDescent="0.25">
      <c r="A67" s="2" t="s">
        <v>174</v>
      </c>
      <c r="B67" s="2">
        <v>200</v>
      </c>
      <c r="C67" s="2" t="s">
        <v>7</v>
      </c>
      <c r="D67" s="2" t="s">
        <v>175</v>
      </c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</row>
    <row r="68" spans="1:15" x14ac:dyDescent="0.25">
      <c r="A68" s="2" t="s">
        <v>176</v>
      </c>
      <c r="B68" s="2">
        <v>1</v>
      </c>
      <c r="C68" s="2"/>
      <c r="D68" s="2" t="s">
        <v>177</v>
      </c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</row>
    <row r="69" spans="1:15" x14ac:dyDescent="0.25">
      <c r="A69" s="2" t="s">
        <v>178</v>
      </c>
      <c r="B69" s="2">
        <v>1</v>
      </c>
      <c r="C69" s="2"/>
      <c r="D69" s="2" t="s">
        <v>179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</row>
    <row r="70" spans="1:15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</row>
    <row r="71" spans="1:15" x14ac:dyDescent="0.25">
      <c r="A71" s="13" t="s">
        <v>180</v>
      </c>
      <c r="B71" s="13"/>
      <c r="C71" s="13"/>
      <c r="D71" s="13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</row>
    <row r="72" spans="1:15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</row>
    <row r="73" spans="1:15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</row>
    <row r="74" spans="1:15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</row>
    <row r="75" spans="1:15" x14ac:dyDescent="0.25">
      <c r="A75" s="14" t="s">
        <v>51</v>
      </c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</row>
    <row r="76" spans="1:15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</row>
    <row r="77" spans="1:15" x14ac:dyDescent="0.25">
      <c r="A77" s="12" t="s">
        <v>184</v>
      </c>
      <c r="B77" s="12" t="s">
        <v>185</v>
      </c>
      <c r="C77" s="12" t="s">
        <v>186</v>
      </c>
      <c r="D77" s="12" t="s">
        <v>187</v>
      </c>
      <c r="E77" s="12" t="s">
        <v>188</v>
      </c>
      <c r="F77" s="12" t="s">
        <v>189</v>
      </c>
      <c r="G77" s="12" t="s">
        <v>190</v>
      </c>
      <c r="H77" s="12" t="s">
        <v>191</v>
      </c>
      <c r="I77" s="12" t="s">
        <v>192</v>
      </c>
      <c r="J77" s="12" t="s">
        <v>193</v>
      </c>
      <c r="K77" s="12" t="s">
        <v>194</v>
      </c>
      <c r="L77" s="12" t="s">
        <v>195</v>
      </c>
      <c r="M77" s="12" t="s">
        <v>196</v>
      </c>
      <c r="N77" s="12" t="s">
        <v>197</v>
      </c>
      <c r="O77" s="12" t="s">
        <v>198</v>
      </c>
    </row>
    <row r="78" spans="1:15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</row>
    <row r="79" spans="1:15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</row>
    <row r="80" spans="1:15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</row>
    <row r="81" spans="1:15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</row>
    <row r="82" spans="1:15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</row>
    <row r="83" spans="1:15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</row>
    <row r="84" spans="1:15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</row>
    <row r="85" spans="1:15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</row>
    <row r="86" spans="1:15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</row>
    <row r="87" spans="1:15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</row>
    <row r="88" spans="1:15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</row>
    <row r="89" spans="1:15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</row>
    <row r="90" spans="1:15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</row>
    <row r="91" spans="1:15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</row>
    <row r="92" spans="1:15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</row>
    <row r="93" spans="1:15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</row>
    <row r="94" spans="1:15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</row>
    <row r="95" spans="1:15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</row>
    <row r="96" spans="1:15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</row>
    <row r="97" spans="1:15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</row>
    <row r="98" spans="1:15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</row>
    <row r="99" spans="1:15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</row>
    <row r="100" spans="1:15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</row>
    <row r="101" spans="1:15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</row>
    <row r="102" spans="1:15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</row>
    <row r="103" spans="1:15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</row>
    <row r="104" spans="1:15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</row>
    <row r="105" spans="1:15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</row>
    <row r="106" spans="1:15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</row>
    <row r="107" spans="1:15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</row>
    <row r="108" spans="1:15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</row>
    <row r="109" spans="1:15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</row>
    <row r="110" spans="1:15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</row>
    <row r="111" spans="1:15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</row>
    <row r="112" spans="1:15" x14ac:dyDescent="0.2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</row>
    <row r="113" spans="1:15" x14ac:dyDescent="0.25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</row>
    <row r="114" spans="1:15" x14ac:dyDescent="0.25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</row>
    <row r="115" spans="1:15" x14ac:dyDescent="0.25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</row>
    <row r="116" spans="1:15" x14ac:dyDescent="0.25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</row>
    <row r="117" spans="1:15" x14ac:dyDescent="0.25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</row>
    <row r="118" spans="1:15" x14ac:dyDescent="0.25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</row>
    <row r="119" spans="1:15" x14ac:dyDescent="0.25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</row>
    <row r="120" spans="1:15" x14ac:dyDescent="0.25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</row>
    <row r="121" spans="1:15" x14ac:dyDescent="0.25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</row>
    <row r="122" spans="1:15" x14ac:dyDescent="0.25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</row>
    <row r="123" spans="1:15" x14ac:dyDescent="0.25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</row>
    <row r="124" spans="1:15" x14ac:dyDescent="0.25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</row>
    <row r="125" spans="1:15" x14ac:dyDescent="0.25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</row>
    <row r="126" spans="1:15" x14ac:dyDescent="0.25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</row>
    <row r="127" spans="1:15" x14ac:dyDescent="0.25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</row>
    <row r="128" spans="1:15" x14ac:dyDescent="0.25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</row>
    <row r="129" spans="1:15" x14ac:dyDescent="0.25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</row>
    <row r="130" spans="1:15" x14ac:dyDescent="0.25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</row>
    <row r="131" spans="1:15" x14ac:dyDescent="0.25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</row>
    <row r="132" spans="1:15" x14ac:dyDescent="0.25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</row>
    <row r="133" spans="1:15" x14ac:dyDescent="0.25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</row>
    <row r="134" spans="1:15" x14ac:dyDescent="0.25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</row>
    <row r="135" spans="1:15" x14ac:dyDescent="0.25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</row>
    <row r="136" spans="1:15" x14ac:dyDescent="0.25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</row>
    <row r="137" spans="1:15" x14ac:dyDescent="0.25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</row>
    <row r="138" spans="1:15" x14ac:dyDescent="0.25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</row>
    <row r="139" spans="1:15" x14ac:dyDescent="0.25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</row>
    <row r="140" spans="1:15" x14ac:dyDescent="0.25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</row>
    <row r="141" spans="1:15" x14ac:dyDescent="0.25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</row>
    <row r="142" spans="1:15" x14ac:dyDescent="0.25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</row>
    <row r="143" spans="1:15" x14ac:dyDescent="0.25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</row>
    <row r="144" spans="1:15" x14ac:dyDescent="0.25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</row>
    <row r="145" spans="1:15" x14ac:dyDescent="0.25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</row>
    <row r="146" spans="1:15" x14ac:dyDescent="0.25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</row>
    <row r="147" spans="1:15" x14ac:dyDescent="0.25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</row>
    <row r="148" spans="1:15" x14ac:dyDescent="0.25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</row>
    <row r="149" spans="1:15" x14ac:dyDescent="0.25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</row>
    <row r="150" spans="1:15" x14ac:dyDescent="0.25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</row>
    <row r="151" spans="1:15" x14ac:dyDescent="0.25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</row>
    <row r="152" spans="1:15" x14ac:dyDescent="0.25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</row>
    <row r="153" spans="1:15" x14ac:dyDescent="0.25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</row>
    <row r="154" spans="1:15" x14ac:dyDescent="0.25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</row>
    <row r="155" spans="1:15" x14ac:dyDescent="0.25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</row>
    <row r="156" spans="1:15" x14ac:dyDescent="0.25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</row>
    <row r="157" spans="1:15" x14ac:dyDescent="0.25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</row>
    <row r="158" spans="1:15" x14ac:dyDescent="0.25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</row>
    <row r="159" spans="1:15" x14ac:dyDescent="0.25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</row>
    <row r="160" spans="1:15" x14ac:dyDescent="0.25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</row>
    <row r="161" spans="1:15" x14ac:dyDescent="0.25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</row>
    <row r="162" spans="1:15" x14ac:dyDescent="0.25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</row>
    <row r="163" spans="1:15" x14ac:dyDescent="0.25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</row>
    <row r="164" spans="1:15" x14ac:dyDescent="0.25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</row>
    <row r="165" spans="1:15" x14ac:dyDescent="0.25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</row>
    <row r="166" spans="1:15" x14ac:dyDescent="0.25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</row>
    <row r="167" spans="1:15" x14ac:dyDescent="0.25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</row>
    <row r="168" spans="1:15" x14ac:dyDescent="0.25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</row>
    <row r="169" spans="1:15" x14ac:dyDescent="0.25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</row>
    <row r="170" spans="1:15" x14ac:dyDescent="0.25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</row>
    <row r="171" spans="1:15" x14ac:dyDescent="0.25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</row>
    <row r="172" spans="1:15" x14ac:dyDescent="0.25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</row>
    <row r="173" spans="1:15" x14ac:dyDescent="0.25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</row>
    <row r="174" spans="1:15" x14ac:dyDescent="0.25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</row>
    <row r="175" spans="1:15" x14ac:dyDescent="0.25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</row>
    <row r="176" spans="1:15" x14ac:dyDescent="0.25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</row>
    <row r="177" spans="1:15" x14ac:dyDescent="0.25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</row>
    <row r="178" spans="1:15" x14ac:dyDescent="0.25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</row>
    <row r="179" spans="1:15" x14ac:dyDescent="0.25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</row>
    <row r="180" spans="1:15" x14ac:dyDescent="0.25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</row>
    <row r="181" spans="1:15" x14ac:dyDescent="0.25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</row>
    <row r="182" spans="1:15" x14ac:dyDescent="0.25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</row>
    <row r="183" spans="1:15" x14ac:dyDescent="0.25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</row>
    <row r="184" spans="1:15" x14ac:dyDescent="0.25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</row>
    <row r="185" spans="1:15" x14ac:dyDescent="0.25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</row>
    <row r="186" spans="1:15" x14ac:dyDescent="0.25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</row>
    <row r="187" spans="1:15" x14ac:dyDescent="0.25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</row>
    <row r="188" spans="1:15" x14ac:dyDescent="0.25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</row>
    <row r="189" spans="1:15" x14ac:dyDescent="0.25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</row>
    <row r="190" spans="1:15" x14ac:dyDescent="0.25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</row>
    <row r="191" spans="1:15" x14ac:dyDescent="0.25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</row>
    <row r="192" spans="1:15" x14ac:dyDescent="0.25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</row>
    <row r="193" spans="1:15" x14ac:dyDescent="0.25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</row>
    <row r="194" spans="1:15" x14ac:dyDescent="0.25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</row>
    <row r="195" spans="1:15" x14ac:dyDescent="0.25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</row>
    <row r="196" spans="1:15" x14ac:dyDescent="0.25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</row>
    <row r="197" spans="1:15" x14ac:dyDescent="0.25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</row>
    <row r="198" spans="1:15" x14ac:dyDescent="0.25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</row>
    <row r="199" spans="1:15" x14ac:dyDescent="0.25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</row>
    <row r="200" spans="1:15" x14ac:dyDescent="0.25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</row>
    <row r="201" spans="1:15" x14ac:dyDescent="0.25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</row>
    <row r="202" spans="1:15" x14ac:dyDescent="0.25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</row>
    <row r="203" spans="1:15" x14ac:dyDescent="0.25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</row>
    <row r="204" spans="1:15" x14ac:dyDescent="0.25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</row>
    <row r="205" spans="1:15" x14ac:dyDescent="0.25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</row>
    <row r="206" spans="1:15" x14ac:dyDescent="0.25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</row>
    <row r="207" spans="1:15" x14ac:dyDescent="0.25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</row>
    <row r="208" spans="1:15" x14ac:dyDescent="0.25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</row>
    <row r="209" spans="1:15" x14ac:dyDescent="0.25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</row>
    <row r="210" spans="1:15" x14ac:dyDescent="0.25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</row>
    <row r="211" spans="1:15" x14ac:dyDescent="0.25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</row>
    <row r="212" spans="1:15" x14ac:dyDescent="0.25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</row>
    <row r="213" spans="1:15" x14ac:dyDescent="0.25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</row>
    <row r="214" spans="1:15" x14ac:dyDescent="0.25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</row>
    <row r="215" spans="1:15" x14ac:dyDescent="0.25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</row>
    <row r="216" spans="1:15" x14ac:dyDescent="0.25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</row>
    <row r="217" spans="1:15" x14ac:dyDescent="0.25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</row>
    <row r="218" spans="1:15" x14ac:dyDescent="0.25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</row>
    <row r="219" spans="1:15" x14ac:dyDescent="0.25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</row>
    <row r="220" spans="1:15" x14ac:dyDescent="0.25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</row>
    <row r="221" spans="1:15" x14ac:dyDescent="0.25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</row>
    <row r="222" spans="1:15" x14ac:dyDescent="0.25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</row>
    <row r="223" spans="1:15" x14ac:dyDescent="0.25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</row>
    <row r="224" spans="1:15" x14ac:dyDescent="0.25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</row>
    <row r="225" spans="1:15" x14ac:dyDescent="0.25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</row>
    <row r="226" spans="1:15" x14ac:dyDescent="0.25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</row>
    <row r="227" spans="1:15" x14ac:dyDescent="0.25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</row>
    <row r="228" spans="1:15" x14ac:dyDescent="0.25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</row>
    <row r="229" spans="1:15" x14ac:dyDescent="0.25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</row>
    <row r="230" spans="1:15" x14ac:dyDescent="0.25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</row>
    <row r="231" spans="1:15" x14ac:dyDescent="0.25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</row>
    <row r="232" spans="1:15" x14ac:dyDescent="0.25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</row>
    <row r="233" spans="1:15" x14ac:dyDescent="0.25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</row>
    <row r="234" spans="1:15" x14ac:dyDescent="0.25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</row>
    <row r="235" spans="1:15" x14ac:dyDescent="0.25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</row>
    <row r="236" spans="1:15" x14ac:dyDescent="0.25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</row>
    <row r="237" spans="1:15" x14ac:dyDescent="0.25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</row>
    <row r="238" spans="1:15" x14ac:dyDescent="0.25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</row>
    <row r="239" spans="1:15" x14ac:dyDescent="0.25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</row>
    <row r="240" spans="1:15" x14ac:dyDescent="0.25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</row>
    <row r="241" spans="1:15" x14ac:dyDescent="0.25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</row>
    <row r="242" spans="1:15" x14ac:dyDescent="0.25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</row>
    <row r="243" spans="1:15" x14ac:dyDescent="0.25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</row>
    <row r="244" spans="1:15" x14ac:dyDescent="0.25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</row>
    <row r="245" spans="1:15" x14ac:dyDescent="0.25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</row>
    <row r="246" spans="1:15" x14ac:dyDescent="0.25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</row>
    <row r="247" spans="1:15" x14ac:dyDescent="0.25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</row>
    <row r="248" spans="1:15" x14ac:dyDescent="0.25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</row>
    <row r="249" spans="1:15" x14ac:dyDescent="0.25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</row>
    <row r="250" spans="1:15" x14ac:dyDescent="0.25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</row>
    <row r="251" spans="1:15" x14ac:dyDescent="0.25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</row>
    <row r="252" spans="1:15" x14ac:dyDescent="0.25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</row>
    <row r="253" spans="1:15" x14ac:dyDescent="0.25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</row>
    <row r="254" spans="1:15" x14ac:dyDescent="0.25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</row>
    <row r="255" spans="1:15" x14ac:dyDescent="0.25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</row>
    <row r="256" spans="1:15" x14ac:dyDescent="0.25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</row>
    <row r="257" spans="1:15" x14ac:dyDescent="0.25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</row>
    <row r="258" spans="1:15" x14ac:dyDescent="0.25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</row>
    <row r="259" spans="1:15" x14ac:dyDescent="0.25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</row>
    <row r="260" spans="1:15" x14ac:dyDescent="0.25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</row>
  </sheetData>
  <dataValidations count="6">
    <dataValidation type="list" allowBlank="1" showInputMessage="1" showErrorMessage="1" sqref="B5" xr:uid="{FB4108DB-495B-4A9D-955C-9C8DDF11F098}">
      <formula1>$H$1:$H$2</formula1>
    </dataValidation>
    <dataValidation type="list" allowBlank="1" showInputMessage="1" showErrorMessage="1" sqref="B20" xr:uid="{E53E896F-72B0-4D63-8AC1-D6438B9DDD8D}">
      <formula1>$I$1:$I$2</formula1>
    </dataValidation>
    <dataValidation type="list" allowBlank="1" showInputMessage="1" showErrorMessage="1" sqref="B41" xr:uid="{66D61187-1594-4869-B87B-B649537FAEE8}">
      <formula1>$J$1:$J$3</formula1>
    </dataValidation>
    <dataValidation type="list" allowBlank="1" showInputMessage="1" showErrorMessage="1" sqref="B47" xr:uid="{F2DD6453-5980-4D3E-9645-688E54DBEC13}">
      <formula1>$K$1:$K$2</formula1>
    </dataValidation>
    <dataValidation type="list" allowBlank="1" showInputMessage="1" showErrorMessage="1" sqref="B52" xr:uid="{CB690813-165D-4F88-B705-9B5A3252A18C}">
      <formula1>$L$1:$L$2</formula1>
    </dataValidation>
    <dataValidation type="list" allowBlank="1" showInputMessage="1" showErrorMessage="1" sqref="B65" xr:uid="{62C0530C-8CC8-49DD-ACFB-E37014DD62AB}">
      <formula1>$M$1:$M$2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14</vt:i4>
      </vt:variant>
    </vt:vector>
  </HeadingPairs>
  <TitlesOfParts>
    <vt:vector size="16" baseType="lpstr">
      <vt:lpstr>Расчет</vt:lpstr>
      <vt:lpstr>System</vt:lpstr>
      <vt:lpstr>AutoCADSettings</vt:lpstr>
      <vt:lpstr>CapacitySettings</vt:lpstr>
      <vt:lpstr>ConcreteDiagram</vt:lpstr>
      <vt:lpstr>GeometrySettings</vt:lpstr>
      <vt:lpstr>OutputSettings</vt:lpstr>
      <vt:lpstr>rngLoadCombinations</vt:lpstr>
      <vt:lpstr>rngMainInput</vt:lpstr>
      <vt:lpstr>rngRebarInput</vt:lpstr>
      <vt:lpstr>rngResultSection</vt:lpstr>
      <vt:lpstr>rngSystemDiagnostics</vt:lpstr>
      <vt:lpstr>rngSystemSettings</vt:lpstr>
      <vt:lpstr>SolverSettings</vt:lpstr>
      <vt:lpstr>SteelDiagram</vt:lpstr>
      <vt:lpstr>Расчет!Область_печати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2026-07-19T11:42:29Z</dcterms:created>
  <dcterms:modified xsi:type="dcterms:W3CDTF">2026-07-19T11:42:37Z</dcterms:modified>
</cp:coreProperties>
</file>