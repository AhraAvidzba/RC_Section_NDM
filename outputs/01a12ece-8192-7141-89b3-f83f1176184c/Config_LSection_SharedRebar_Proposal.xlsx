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avidzba\Desktop\программы\В_РАБОТЕ!\RC_Section_NDM\outputs\01a12ece-8192-7141-89b3-f83f1176184c\"/>
    </mc:Choice>
  </mc:AlternateContent>
  <xr:revisionPtr revIDLastSave="0" documentId="13_ncr:1_{EFA471B8-8F66-4553-99F4-146904DFCD1F}" xr6:coauthVersionLast="36" xr6:coauthVersionMax="36" xr10:uidLastSave="{00000000-0000-0000-0000-000000000000}"/>
  <bookViews>
    <workbookView xWindow="0" yWindow="0" windowWidth="38400" windowHeight="19515" xr2:uid="{00000000-000D-0000-FFFF-FFFF00000000}"/>
  </bookViews>
  <sheets>
    <sheet name="Config" sheetId="1" r:id="rId1"/>
    <sheet name="_Lists" sheetId="2" state="hidden" r:id="rId2"/>
  </sheets>
  <definedNames>
    <definedName name="InputLengthUnit">Config!$B$5</definedName>
    <definedName name="lstBind2_1">_Lists!$E$2:$E$3</definedName>
    <definedName name="lstBind2_2">_Lists!$I$2:$I$3</definedName>
    <definedName name="lstBind2_3">_Lists!$M$2:$M$3</definedName>
    <definedName name="lstBind2_4">_Lists!$Q$2:$Q$3</definedName>
    <definedName name="lstBind2_5">_Lists!$U$2:$U$3</definedName>
    <definedName name="lstBind2_6">_Lists!$Y$2:$Y$3</definedName>
    <definedName name="lstBind2_7">_Lists!$AC$2:$AC$3</definedName>
    <definedName name="lstBind2_8">_Lists!$AG$2:$AG$3</definedName>
    <definedName name="lstBind3_1">_Lists!$G$2:$G$3</definedName>
    <definedName name="lstBind3_2">_Lists!$K$2:$K$3</definedName>
    <definedName name="lstBind3_3">_Lists!$O$2:$O$3</definedName>
    <definedName name="lstBind3_4">_Lists!$S$2:$S$3</definedName>
    <definedName name="lstBind3_5">_Lists!$W$2:$W$3</definedName>
    <definedName name="lstBind3_6">_Lists!$AA$2:$AA$3</definedName>
    <definedName name="lstBind3_7">_Lists!$AE$2:$AE$3</definedName>
    <definedName name="lstBind3_8">_Lists!$AI$2:$AI$3</definedName>
    <definedName name="lstGeometryType">_Lists!$D$2:$D$3</definedName>
    <definedName name="lstInputLength">_Lists!$C$2:$C$4</definedName>
    <definedName name="lstPos2_1">_Lists!$F$2:$F$3</definedName>
    <definedName name="lstPos2_2">_Lists!$J$2:$J$3</definedName>
    <definedName name="lstPos2_3">_Lists!$N$2:$N$3</definedName>
    <definedName name="lstPos2_4">_Lists!$R$2:$R$3</definedName>
    <definedName name="lstPos2_5">_Lists!$V$2:$V$3</definedName>
    <definedName name="lstPos2_6">_Lists!$Z$2:$Z$3</definedName>
    <definedName name="lstPos2_7">_Lists!$AD$2:$AD$3</definedName>
    <definedName name="lstPos2_8">_Lists!$AH$2:$AH$3</definedName>
    <definedName name="lstPos3_1">_Lists!$H$2:$H$3</definedName>
    <definedName name="lstPos3_2">_Lists!$L$2:$L$3</definedName>
    <definedName name="lstPos3_3">_Lists!$P$2:$P$3</definedName>
    <definedName name="lstPos3_4">_Lists!$T$2:$T$3</definedName>
    <definedName name="lstPos3_5">_Lists!$X$2:$X$3</definedName>
    <definedName name="lstPos3_6">_Lists!$AB$2:$AB$3</definedName>
    <definedName name="lstPos3_7">_Lists!$AF$2:$AF$3</definedName>
    <definedName name="lstPos3_8">_Lists!$AJ$2:$AJ$3</definedName>
    <definedName name="rngCircleEdgeKeys">Config!$H$67</definedName>
    <definedName name="rngCircleEdgeNames">Config!$I$67</definedName>
    <definedName name="rngCircleGeometry">Config!$H$56:$L$67</definedName>
    <definedName name="rngCurrentSideKeys">_Lists!$A$2:$A$9</definedName>
    <definedName name="rngCurrentSideNames">_Lists!$B$2:$B$9</definedName>
    <definedName name="rngLSectionEdgeKeys">Config!$H$19:$H$26</definedName>
    <definedName name="rngLSectionEdgeNames">Config!$I$19:$I$26</definedName>
    <definedName name="rngLSectionGeometry">Config!$H$5:$L$26</definedName>
    <definedName name="rngRebarInput">Config!$H$29:$R$53</definedName>
    <definedName name="rngUnitSettings">Config!$A$4:$D$5</definedName>
    <definedName name="selGeometryType">Config!$B$7</definedName>
  </definedNames>
  <calcPr calcId="191029"/>
</workbook>
</file>

<file path=xl/calcChain.xml><?xml version="1.0" encoding="utf-8"?>
<calcChain xmlns="http://schemas.openxmlformats.org/spreadsheetml/2006/main">
  <c r="B9" i="2" l="1"/>
  <c r="A9" i="2"/>
  <c r="B8" i="2"/>
  <c r="A8" i="2"/>
  <c r="H39" i="1" s="1"/>
  <c r="B7" i="2"/>
  <c r="A7" i="2"/>
  <c r="H38" i="1" s="1"/>
  <c r="H51" i="1" s="1"/>
  <c r="B6" i="2"/>
  <c r="A6" i="2"/>
  <c r="H37" i="1" s="1"/>
  <c r="B5" i="2"/>
  <c r="A5" i="2"/>
  <c r="H36" i="1" s="1"/>
  <c r="I36" i="1" s="1"/>
  <c r="I49" i="1" s="1"/>
  <c r="B4" i="2"/>
  <c r="A4" i="2"/>
  <c r="H35" i="1" s="1"/>
  <c r="B3" i="2"/>
  <c r="A3" i="2"/>
  <c r="H34" i="1" s="1"/>
  <c r="H47" i="1" s="1"/>
  <c r="B2" i="2"/>
  <c r="A2" i="2"/>
  <c r="H33" i="1" s="1"/>
  <c r="K67" i="1"/>
  <c r="J67" i="1"/>
  <c r="K62" i="1"/>
  <c r="K61" i="1"/>
  <c r="K60" i="1"/>
  <c r="O45" i="1"/>
  <c r="N45" i="1"/>
  <c r="K45" i="1"/>
  <c r="J45" i="1"/>
  <c r="H40" i="1"/>
  <c r="H53" i="1" s="1"/>
  <c r="N32" i="1"/>
  <c r="M32" i="1"/>
  <c r="K32" i="1"/>
  <c r="J32" i="1"/>
  <c r="K26" i="1"/>
  <c r="J26" i="1"/>
  <c r="K25" i="1"/>
  <c r="J25" i="1"/>
  <c r="K24" i="1"/>
  <c r="J24" i="1"/>
  <c r="K23" i="1"/>
  <c r="J23" i="1"/>
  <c r="K22" i="1"/>
  <c r="J22" i="1"/>
  <c r="K21" i="1"/>
  <c r="J21" i="1"/>
  <c r="K20" i="1"/>
  <c r="J20" i="1"/>
  <c r="K19" i="1"/>
  <c r="J19" i="1"/>
  <c r="K14" i="1"/>
  <c r="K13" i="1"/>
  <c r="K12" i="1"/>
  <c r="K11" i="1"/>
  <c r="K10" i="1"/>
  <c r="K9" i="1"/>
  <c r="H50" i="1" l="1"/>
  <c r="I37" i="1"/>
  <c r="I50" i="1" s="1"/>
  <c r="I40" i="1"/>
  <c r="I53" i="1" s="1"/>
  <c r="I34" i="1"/>
  <c r="I47" i="1" s="1"/>
  <c r="H46" i="1"/>
  <c r="I33" i="1"/>
  <c r="I46" i="1" s="1"/>
  <c r="H48" i="1"/>
  <c r="I35" i="1"/>
  <c r="I48" i="1" s="1"/>
  <c r="H52" i="1"/>
  <c r="I39" i="1"/>
  <c r="I52" i="1" s="1"/>
  <c r="I38" i="1"/>
  <c r="I51" i="1" s="1"/>
  <c r="H49" i="1"/>
</calcChain>
</file>

<file path=xl/sharedStrings.xml><?xml version="1.0" encoding="utf-8"?>
<sst xmlns="http://schemas.openxmlformats.org/spreadsheetml/2006/main" count="346" uniqueCount="187">
  <si>
    <t>Единицы измерения</t>
  </si>
  <si>
    <t>Параметр</t>
  </si>
  <si>
    <t>INPUT</t>
  </si>
  <si>
    <t>INTERNAL</t>
  </si>
  <si>
    <t>OUTPUT</t>
  </si>
  <si>
    <t>Г-образное сечение</t>
  </si>
  <si>
    <t>Подробнее</t>
  </si>
  <si>
    <t>Length</t>
  </si>
  <si>
    <t>mm</t>
  </si>
  <si>
    <t>m</t>
  </si>
  <si>
    <t>General</t>
  </si>
  <si>
    <t>1. Общие настройки геометрии</t>
  </si>
  <si>
    <t>Ключ</t>
  </si>
  <si>
    <t>Значение</t>
  </si>
  <si>
    <t>Ед.</t>
  </si>
  <si>
    <t>Комментарий</t>
  </si>
  <si>
    <t>Тип сечения</t>
  </si>
  <si>
    <t>LSection</t>
  </si>
  <si>
    <t>key</t>
  </si>
  <si>
    <t>name</t>
  </si>
  <si>
    <t>val</t>
  </si>
  <si>
    <t>unit</t>
  </si>
  <si>
    <t>note</t>
  </si>
  <si>
    <t>Type</t>
  </si>
  <si>
    <t>—</t>
  </si>
  <si>
    <t>Постоянный код типа для ключей армирования.</t>
  </si>
  <si>
    <t>Параметры Г-сечения</t>
  </si>
  <si>
    <t>OffsetX</t>
  </si>
  <si>
    <t>Смещение X</t>
  </si>
  <si>
    <t>Смещение всего сечения по X; плюс — вправо.</t>
  </si>
  <si>
    <t>Размеры B1, H1, B2 и H2 задаются только в General.</t>
  </si>
  <si>
    <t>OffsetY</t>
  </si>
  <si>
    <t>Смещение Y</t>
  </si>
  <si>
    <t>Смещение всего сечения по Y; плюс — вверх.</t>
  </si>
  <si>
    <t>Длины восьми сторон R1/R2 вычисляются по этим размерам.</t>
  </si>
  <si>
    <t>B1</t>
  </si>
  <si>
    <t>Ширина R1</t>
  </si>
  <si>
    <t>B1 — ширина верхнего прямоугольника R1.</t>
  </si>
  <si>
    <t>Как задаётся армирование</t>
  </si>
  <si>
    <t>H1</t>
  </si>
  <si>
    <t>Высота R1</t>
  </si>
  <si>
    <t>H1 — высота верхнего прямоугольника R1.</t>
  </si>
  <si>
    <t>Выберите тип сечения в B7 и задайте параметры армирования.</t>
  </si>
  <si>
    <t>B2</t>
  </si>
  <si>
    <t>Ширина R2</t>
  </si>
  <si>
    <t>B2 — ширина нижнего прямоугольника R2.</t>
  </si>
  <si>
    <t>Ключ формируется из типа сечения и ключа стороны геометрии.</t>
  </si>
  <si>
    <t>H2</t>
  </si>
  <si>
    <t>Высота R2</t>
  </si>
  <si>
    <t>H2 — высота нижнего прямоугольника R2.</t>
  </si>
  <si>
    <t>Переименуйте ключ стороны — связанные ключи обновятся формулами.</t>
  </si>
  <si>
    <t>Дополнительные ряды относятся к той же стороне основного ряда.</t>
  </si>
  <si>
    <t>Edges</t>
  </si>
  <si>
    <t>2. Участки контура</t>
  </si>
  <si>
    <t>Для Г-сечения используются 8 строк, для круга — 1.</t>
  </si>
  <si>
    <t>Ключ стороны</t>
  </si>
  <si>
    <t>Сторона</t>
  </si>
  <si>
    <t>Длина</t>
  </si>
  <si>
    <t>Все ключи вычисляются формулами Excel. VBA в этой книге нет.</t>
  </si>
  <si>
    <t>Стороны подставляются из Edges выбранного типа сечения.</t>
  </si>
  <si>
    <t>R1.Top</t>
  </si>
  <si>
    <t>R1: сверху</t>
  </si>
  <si>
    <t>Верхняя сторона прямоугольника R1; длина B1.</t>
  </si>
  <si>
    <t>При смене типа введённые параметры армирования сохраняются.</t>
  </si>
  <si>
    <t>R1.Bottom</t>
  </si>
  <si>
    <t>R1: снизу</t>
  </si>
  <si>
    <t>Нижняя сторона прямоугольника R1; длина B1.</t>
  </si>
  <si>
    <t>В общей таблице 8 строк, без дополнительного запаса.</t>
  </si>
  <si>
    <t>R1.Left</t>
  </si>
  <si>
    <t>R1: слева</t>
  </si>
  <si>
    <t>Левая сторона прямоугольника R1; длина H1.</t>
  </si>
  <si>
    <t>R1.Right</t>
  </si>
  <si>
    <t>R1: справа</t>
  </si>
  <si>
    <t>Правая сторона прямоугольника R1; длина H1.</t>
  </si>
  <si>
    <t>R2.Top</t>
  </si>
  <si>
    <t>R2: сверху</t>
  </si>
  <si>
    <t>Верхняя сторона прямоугольника R2; длина B2.</t>
  </si>
  <si>
    <t>R2.Bottom</t>
  </si>
  <si>
    <t>R2: снизу</t>
  </si>
  <si>
    <t>Нижняя сторона прямоугольника R2; длина B2.</t>
  </si>
  <si>
    <t>R2.Left</t>
  </si>
  <si>
    <t>R2: слева</t>
  </si>
  <si>
    <t>Левая сторона прямоугольника R2; длина H2.</t>
  </si>
  <si>
    <t>R2.Right</t>
  </si>
  <si>
    <t>R2: справа</t>
  </si>
  <si>
    <t>Правая сторона прямоугольника R2; длина H2.</t>
  </si>
  <si>
    <t>Общее армирование выбранного сечения</t>
  </si>
  <si>
    <t>Main</t>
  </si>
  <si>
    <t>1. Основное армирование</t>
  </si>
  <si>
    <t>До оси</t>
  </si>
  <si>
    <t>Диаметр</t>
  </si>
  <si>
    <t>Количество</t>
  </si>
  <si>
    <t>Отступ начала</t>
  </si>
  <si>
    <t>Отступ конца</t>
  </si>
  <si>
    <t>side</t>
  </si>
  <si>
    <t>as</t>
  </si>
  <si>
    <t>d</t>
  </si>
  <si>
    <t>n</t>
  </si>
  <si>
    <t>s0</t>
  </si>
  <si>
    <t>s1</t>
  </si>
  <si>
    <t>Units</t>
  </si>
  <si>
    <t>Единицы</t>
  </si>
  <si>
    <t>шт</t>
  </si>
  <si>
    <t>as — от края бетона до осей стержней.</t>
  </si>
  <si>
    <t>d — диаметр основного ряда.</t>
  </si>
  <si>
    <t>n — число стержней на выбранной стороне.</t>
  </si>
  <si>
    <t>s0 и s1 — отступы вдоль линии размещения.</t>
  </si>
  <si>
    <t>0 или пустой диаметр отключает ряд.</t>
  </si>
  <si>
    <t>Ключ вычисляется по выбранной стороне геометрии.</t>
  </si>
  <si>
    <t>Каждая сторона имеет свои параметры армирования.</t>
  </si>
  <si>
    <t>Дополнительные ряды заданы в блоке Extra.</t>
  </si>
  <si>
    <t>Extra</t>
  </si>
  <si>
    <t>2. Дополнительное армирование</t>
  </si>
  <si>
    <t>Диаметр 2</t>
  </si>
  <si>
    <t>Смещение 2</t>
  </si>
  <si>
    <t>Привязка 2</t>
  </si>
  <si>
    <t>Положение 2</t>
  </si>
  <si>
    <t>Диаметр 3</t>
  </si>
  <si>
    <t>Смещение 3</t>
  </si>
  <si>
    <t>Привязка 3</t>
  </si>
  <si>
    <t>Положение 3</t>
  </si>
  <si>
    <t>d2</t>
  </si>
  <si>
    <t>a2</t>
  </si>
  <si>
    <t>bind2</t>
  </si>
  <si>
    <t>pos2</t>
  </si>
  <si>
    <t>d3</t>
  </si>
  <si>
    <t>a3</t>
  </si>
  <si>
    <t>bind3</t>
  </si>
  <si>
    <t>pos3</t>
  </si>
  <si>
    <t>EachBar</t>
  </si>
  <si>
    <t>Stacked</t>
  </si>
  <si>
    <t>EverySecondBar</t>
  </si>
  <si>
    <t>SideBySide</t>
  </si>
  <si>
    <t>Смещения 2 и 3 отсчитываются от основного ряда.</t>
  </si>
  <si>
    <t>0 или пустой диаметр отключает дополнительный ряд.</t>
  </si>
  <si>
    <t>EverySecondBar — у первого, третьего и следующих нечётных стержней.</t>
  </si>
  <si>
    <t>Ключ и сторона связаны с основным армированием.</t>
  </si>
  <si>
    <t>SideBySide — рядом вдоль линии размещения стержней.</t>
  </si>
  <si>
    <t>Stacked — в глубину бетона от основного ряда.</t>
  </si>
  <si>
    <t>Все поля дополнительного армирования доступны для ввода.</t>
  </si>
  <si>
    <t>Параметры противоположных сторон задаются независимо.</t>
  </si>
  <si>
    <t>Круглое сечение</t>
  </si>
  <si>
    <t>Circle</t>
  </si>
  <si>
    <t>Круглое сечение.</t>
  </si>
  <si>
    <t>D</t>
  </si>
  <si>
    <t>Диаметр бетонного круга.</t>
  </si>
  <si>
    <t>Ключ участка</t>
  </si>
  <si>
    <t>Участок</t>
  </si>
  <si>
    <t>Окружность</t>
  </si>
  <si>
    <t>Полная длина бетонной окружности πD.</t>
  </si>
  <si>
    <t>CurrentSideKey</t>
  </si>
  <si>
    <t>CurrentSideName</t>
  </si>
  <si>
    <t>lstInputLength</t>
  </si>
  <si>
    <t>lstGeometryType</t>
  </si>
  <si>
    <t>lstBind2_1</t>
  </si>
  <si>
    <t>lstPos2_1</t>
  </si>
  <si>
    <t>lstBind3_1</t>
  </si>
  <si>
    <t>lstPos3_1</t>
  </si>
  <si>
    <t>lstBind2_2</t>
  </si>
  <si>
    <t>lstPos2_2</t>
  </si>
  <si>
    <t>lstBind3_2</t>
  </si>
  <si>
    <t>lstPos3_2</t>
  </si>
  <si>
    <t>lstBind2_3</t>
  </si>
  <si>
    <t>lstPos2_3</t>
  </si>
  <si>
    <t>lstBind3_3</t>
  </si>
  <si>
    <t>lstPos3_3</t>
  </si>
  <si>
    <t>lstBind2_4</t>
  </si>
  <si>
    <t>lstPos2_4</t>
  </si>
  <si>
    <t>lstBind3_4</t>
  </si>
  <si>
    <t>lstPos3_4</t>
  </si>
  <si>
    <t>lstBind2_5</t>
  </si>
  <si>
    <t>lstPos2_5</t>
  </si>
  <si>
    <t>lstBind3_5</t>
  </si>
  <si>
    <t>lstPos3_5</t>
  </si>
  <si>
    <t>lstBind2_6</t>
  </si>
  <si>
    <t>lstPos2_6</t>
  </si>
  <si>
    <t>lstBind3_6</t>
  </si>
  <si>
    <t>lstPos3_6</t>
  </si>
  <si>
    <t>lstBind2_7</t>
  </si>
  <si>
    <t>lstPos2_7</t>
  </si>
  <si>
    <t>lstBind3_7</t>
  </si>
  <si>
    <t>lstPos3_7</t>
  </si>
  <si>
    <t>lstBind2_8</t>
  </si>
  <si>
    <t>lstPos2_8</t>
  </si>
  <si>
    <t>lstBind3_8</t>
  </si>
  <si>
    <t>lstPos3_8</t>
  </si>
  <si>
    <t>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</si>
</sst>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sz val="9"/>
      <color rgb="FF000000"/>
      <name val="Arial"/>
    </font>
    <font>
      <b/>
      <sz val="9"/>
      <color rgb="FF000000"/>
      <name val="Arial"/>
    </font>
    <font>
      <i/>
      <sz val="9"/>
      <color rgb="FF666666"/>
      <name val="Arial"/>
    </font>
    <font>
      <sz val="9"/>
      <color rgb="FF666666"/>
      <name val="Arial"/>
    </font>
    <font>
      <sz val="11"/>
      <name val="Carlito"/>
    </font>
    <font>
      <u/>
      <sz val="11"/>
      <color theme="10"/>
      <name val="Carlito"/>
    </font>
    <font>
      <u/>
      <sz val="9"/>
      <color theme="10"/>
      <name val="Arial"/>
      <family val="2"/>
      <charset val="204"/>
    </font>
  </fonts>
  <fills count="5">
    <fill>
      <patternFill patternType="none"/>
    </fill>
    <fill>
      <patternFill patternType="gray125"/>
    </fill>
    <fill>
      <patternFill patternType="solid">
        <fgColor rgb="FFFFFFFF"/>
      </patternFill>
    </fill>
    <fill>
      <patternFill patternType="solid">
        <fgColor rgb="FFF2F2F2"/>
      </patternFill>
    </fill>
    <fill>
      <patternFill patternType="solid">
        <fgColor rgb="FFD9D9D9"/>
      </patternFill>
    </fill>
  </fills>
  <borders count="2">
    <border>
      <left/>
      <right/>
      <top/>
      <bottom/>
      <diagonal/>
    </border>
    <border>
      <left style="dashed">
        <color rgb="FF000000"/>
      </left>
      <right style="dashed">
        <color rgb="FF000000"/>
      </right>
      <top style="dashed">
        <color rgb="FF000000"/>
      </top>
      <bottom style="dashed">
        <color rgb="FF000000"/>
      </bottom>
      <diagonal/>
    </border>
  </borders>
  <cellStyleXfs count="3">
    <xf numFmtId="0" fontId="0" fillId="0" borderId="0"/>
    <xf numFmtId="0" fontId="5" fillId="0" borderId="0"/>
    <xf numFmtId="0" fontId="6" fillId="0" borderId="0" applyNumberFormat="0" applyFill="0" applyBorder="0" applyAlignment="0" applyProtection="0"/>
  </cellStyleXfs>
  <cellXfs count="20">
    <xf numFmtId="0" fontId="0" fillId="0" borderId="0" xfId="0"/>
    <xf numFmtId="0" fontId="1" fillId="0" borderId="0" xfId="1" applyNumberFormat="1" applyFont="1" applyFill="1" applyBorder="1"/>
    <xf numFmtId="0" fontId="1" fillId="0" borderId="0" xfId="1" applyNumberFormat="1" applyFont="1" applyFill="1" applyBorder="1" applyAlignment="1"/>
    <xf numFmtId="0" fontId="1" fillId="2" borderId="0" xfId="1" applyNumberFormat="1" applyFont="1" applyFill="1" applyBorder="1" applyAlignment="1">
      <alignment horizontal="center" vertical="center"/>
    </xf>
    <xf numFmtId="0" fontId="1" fillId="2" borderId="1" xfId="1" applyNumberFormat="1" applyFont="1" applyFill="1" applyBorder="1" applyAlignment="1">
      <alignment horizontal="center" vertical="center"/>
    </xf>
    <xf numFmtId="0" fontId="2" fillId="3" borderId="1" xfId="1" applyNumberFormat="1" applyFont="1" applyFill="1" applyBorder="1" applyAlignment="1">
      <alignment horizontal="center" vertical="center"/>
    </xf>
    <xf numFmtId="0" fontId="2" fillId="4" borderId="1" xfId="1" applyNumberFormat="1" applyFont="1" applyFill="1" applyBorder="1" applyAlignment="1">
      <alignment horizontal="center" vertical="center"/>
    </xf>
    <xf numFmtId="0" fontId="2" fillId="4" borderId="1" xfId="1" applyNumberFormat="1" applyFont="1" applyFill="1" applyBorder="1" applyAlignment="1">
      <alignment horizontal="right" vertical="center"/>
    </xf>
    <xf numFmtId="0" fontId="3" fillId="3" borderId="1" xfId="1" applyNumberFormat="1" applyFont="1" applyFill="1" applyBorder="1" applyAlignment="1">
      <alignment horizontal="center" vertical="center"/>
    </xf>
    <xf numFmtId="0" fontId="3" fillId="3" borderId="1" xfId="1" applyNumberFormat="1" applyFont="1" applyFill="1" applyBorder="1" applyAlignment="1">
      <alignment horizontal="right" vertical="center"/>
    </xf>
    <xf numFmtId="0" fontId="1" fillId="2" borderId="1" xfId="1" applyNumberFormat="1" applyFont="1" applyFill="1" applyBorder="1" applyAlignment="1">
      <alignment horizontal="right" vertical="center"/>
    </xf>
    <xf numFmtId="0" fontId="4" fillId="2" borderId="1" xfId="1" applyNumberFormat="1" applyFont="1" applyFill="1" applyBorder="1" applyAlignment="1">
      <alignment horizontal="center" vertical="center"/>
    </xf>
    <xf numFmtId="0" fontId="4" fillId="2" borderId="1" xfId="1" applyNumberFormat="1" applyFont="1" applyFill="1" applyBorder="1" applyAlignment="1">
      <alignment horizontal="right" vertical="center"/>
    </xf>
    <xf numFmtId="0" fontId="1" fillId="2" borderId="1" xfId="1" applyNumberFormat="1" applyFont="1" applyFill="1" applyBorder="1" applyAlignment="1">
      <alignment horizontal="center" vertical="center"/>
    </xf>
    <xf numFmtId="1" fontId="1" fillId="2" borderId="1" xfId="1" applyNumberFormat="1" applyFont="1" applyFill="1" applyBorder="1" applyAlignment="1">
      <alignment horizontal="center" vertical="center"/>
    </xf>
    <xf numFmtId="0" fontId="2" fillId="2" borderId="0" xfId="1" applyNumberFormat="1" applyFont="1" applyFill="1" applyBorder="1" applyAlignment="1">
      <alignment horizontal="left" vertical="center"/>
    </xf>
    <xf numFmtId="0" fontId="2" fillId="3" borderId="1" xfId="1" applyNumberFormat="1" applyFont="1" applyFill="1" applyBorder="1" applyAlignment="1">
      <alignment horizontal="left" vertical="center"/>
    </xf>
    <xf numFmtId="0" fontId="2" fillId="3" borderId="1" xfId="1" applyNumberFormat="1" applyFont="1" applyFill="1" applyBorder="1" applyAlignment="1">
      <alignment horizontal="center" vertical="center"/>
    </xf>
    <xf numFmtId="0" fontId="1" fillId="2" borderId="0" xfId="1" applyNumberFormat="1" applyFont="1" applyFill="1" applyBorder="1" applyAlignment="1">
      <alignment horizontal="left" vertical="center"/>
    </xf>
    <xf numFmtId="0" fontId="7" fillId="2" borderId="0" xfId="2" applyNumberFormat="1" applyFont="1" applyFill="1" applyBorder="1" applyAlignment="1">
      <alignment horizontal="center" vertical="center"/>
    </xf>
  </cellXfs>
  <cellStyles count="3">
    <cellStyle name="Normal" xfId="1" xr:uid="{00000000-0005-0000-0000-000000000000}"/>
    <cellStyle name="Гиперссылка" xfId="2" builtinId="8"/>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69"/>
  <sheetViews>
    <sheetView showGridLines="0" tabSelected="1" topLeftCell="H1" zoomScale="85" zoomScaleNormal="85" workbookViewId="0"/>
  </sheetViews>
  <sheetFormatPr defaultRowHeight="14.25"/>
  <cols>
    <col min="1" max="6" width="17" customWidth="1"/>
    <col min="7" max="7" width="4" customWidth="1"/>
    <col min="8" max="8" width="32.625" customWidth="1"/>
    <col min="9" max="21" width="17.625" customWidth="1"/>
  </cols>
  <sheetData>
    <row r="1" spans="1:21" ht="15" customHeight="1">
      <c r="A1" s="3"/>
      <c r="B1" s="3"/>
      <c r="C1" s="3"/>
      <c r="D1" s="3"/>
      <c r="E1" s="3"/>
      <c r="F1" s="3"/>
      <c r="G1" s="3"/>
      <c r="H1" s="3"/>
      <c r="I1" s="3"/>
      <c r="J1" s="3"/>
      <c r="K1" s="3"/>
      <c r="L1" s="3"/>
      <c r="M1" s="3"/>
      <c r="N1" s="3"/>
      <c r="O1" s="3"/>
      <c r="P1" s="3"/>
      <c r="Q1" s="3"/>
      <c r="R1" s="3"/>
      <c r="S1" s="2"/>
      <c r="T1" s="2"/>
      <c r="U1" s="2"/>
    </row>
    <row r="2" spans="1:21" ht="15" customHeight="1">
      <c r="A2" s="3"/>
      <c r="B2" s="3"/>
      <c r="C2" s="3"/>
      <c r="D2" s="3"/>
      <c r="E2" s="3"/>
      <c r="F2" s="3"/>
      <c r="G2" s="3"/>
      <c r="H2" s="3"/>
      <c r="I2" s="3"/>
      <c r="J2" s="3"/>
      <c r="K2" s="3"/>
      <c r="L2" s="3"/>
      <c r="M2" s="3"/>
      <c r="N2" s="3"/>
      <c r="O2" s="3"/>
      <c r="P2" s="3"/>
      <c r="Q2" s="3"/>
      <c r="R2" s="3"/>
      <c r="S2" s="2"/>
      <c r="T2" s="2"/>
      <c r="U2" s="2"/>
    </row>
    <row r="3" spans="1:21" ht="15" customHeight="1">
      <c r="A3" s="15" t="s">
        <v>0</v>
      </c>
      <c r="B3" s="15"/>
      <c r="C3" s="15"/>
      <c r="D3" s="15"/>
      <c r="E3" s="3"/>
      <c r="F3" s="3"/>
      <c r="G3" s="3"/>
      <c r="H3" s="3"/>
      <c r="I3" s="3"/>
      <c r="J3" s="3"/>
      <c r="K3" s="3"/>
      <c r="L3" s="3"/>
      <c r="M3" s="3"/>
      <c r="N3" s="3"/>
      <c r="O3" s="3"/>
      <c r="P3" s="3"/>
      <c r="Q3" s="3"/>
      <c r="R3" s="3"/>
      <c r="S3" s="2"/>
      <c r="T3" s="2"/>
      <c r="U3" s="2"/>
    </row>
    <row r="4" spans="1:21" ht="15" customHeight="1">
      <c r="A4" s="6" t="s">
        <v>1</v>
      </c>
      <c r="B4" s="6" t="s">
        <v>2</v>
      </c>
      <c r="C4" s="6" t="s">
        <v>3</v>
      </c>
      <c r="D4" s="6" t="s">
        <v>4</v>
      </c>
      <c r="E4" s="3"/>
      <c r="F4" s="3"/>
      <c r="G4" s="3"/>
      <c r="H4" s="15" t="s">
        <v>5</v>
      </c>
      <c r="I4" s="15"/>
      <c r="J4" s="15"/>
      <c r="K4" s="15"/>
      <c r="L4" s="19" t="s">
        <v>6</v>
      </c>
      <c r="M4" s="3"/>
      <c r="N4" s="3"/>
      <c r="O4" s="3"/>
      <c r="P4" s="3"/>
      <c r="Q4" s="3"/>
      <c r="R4" s="3"/>
      <c r="S4" s="2"/>
      <c r="T4" s="2"/>
      <c r="U4" s="2"/>
    </row>
    <row r="5" spans="1:21" ht="15" customHeight="1">
      <c r="A5" s="4" t="s">
        <v>7</v>
      </c>
      <c r="B5" s="4" t="s">
        <v>8</v>
      </c>
      <c r="C5" s="4" t="s">
        <v>8</v>
      </c>
      <c r="D5" s="4" t="s">
        <v>9</v>
      </c>
      <c r="E5" s="3"/>
      <c r="F5" s="3"/>
      <c r="G5" s="3"/>
      <c r="H5" s="5" t="s">
        <v>10</v>
      </c>
      <c r="I5" s="16" t="s">
        <v>11</v>
      </c>
      <c r="J5" s="17"/>
      <c r="K5" s="17"/>
      <c r="L5" s="17"/>
      <c r="M5" s="3"/>
      <c r="N5" s="3"/>
      <c r="O5" s="3"/>
      <c r="P5" s="3"/>
      <c r="Q5" s="3"/>
      <c r="R5" s="3"/>
      <c r="S5" s="2"/>
      <c r="T5" s="2"/>
      <c r="U5" s="2"/>
    </row>
    <row r="6" spans="1:21" ht="15" customHeight="1">
      <c r="A6" s="3"/>
      <c r="B6" s="3"/>
      <c r="C6" s="3"/>
      <c r="D6" s="3"/>
      <c r="E6" s="3"/>
      <c r="F6" s="3"/>
      <c r="G6" s="3"/>
      <c r="H6" s="6" t="s">
        <v>12</v>
      </c>
      <c r="I6" s="6" t="s">
        <v>1</v>
      </c>
      <c r="J6" s="6" t="s">
        <v>13</v>
      </c>
      <c r="K6" s="6" t="s">
        <v>14</v>
      </c>
      <c r="L6" s="7" t="s">
        <v>15</v>
      </c>
      <c r="M6" s="3"/>
      <c r="N6" s="3"/>
      <c r="O6" s="3"/>
      <c r="P6" s="3"/>
      <c r="Q6" s="3"/>
      <c r="R6" s="3"/>
      <c r="S6" s="2"/>
      <c r="T6" s="2"/>
      <c r="U6" s="2"/>
    </row>
    <row r="7" spans="1:21" ht="15" customHeight="1">
      <c r="A7" s="4" t="s">
        <v>16</v>
      </c>
      <c r="B7" s="4" t="s">
        <v>17</v>
      </c>
      <c r="C7" s="3"/>
      <c r="D7" s="3"/>
      <c r="E7" s="3"/>
      <c r="F7" s="3"/>
      <c r="G7" s="3"/>
      <c r="H7" s="8" t="s">
        <v>18</v>
      </c>
      <c r="I7" s="8" t="s">
        <v>19</v>
      </c>
      <c r="J7" s="8" t="s">
        <v>20</v>
      </c>
      <c r="K7" s="8" t="s">
        <v>21</v>
      </c>
      <c r="L7" s="9" t="s">
        <v>22</v>
      </c>
      <c r="M7" s="3"/>
      <c r="N7" s="3"/>
      <c r="O7" s="3"/>
      <c r="P7" s="3"/>
      <c r="Q7" s="3"/>
      <c r="R7" s="3"/>
      <c r="S7" s="2"/>
      <c r="T7" s="2"/>
      <c r="U7" s="2"/>
    </row>
    <row r="8" spans="1:21" ht="15" customHeight="1">
      <c r="A8" s="3"/>
      <c r="B8" s="3"/>
      <c r="C8" s="3"/>
      <c r="D8" s="3"/>
      <c r="E8" s="3"/>
      <c r="F8" s="3"/>
      <c r="G8" s="3"/>
      <c r="H8" s="4" t="s">
        <v>23</v>
      </c>
      <c r="I8" s="4" t="s">
        <v>16</v>
      </c>
      <c r="J8" s="4" t="s">
        <v>17</v>
      </c>
      <c r="K8" s="4" t="s">
        <v>24</v>
      </c>
      <c r="L8" s="10" t="s">
        <v>25</v>
      </c>
      <c r="M8" s="3"/>
      <c r="N8" s="3"/>
      <c r="O8" s="3"/>
      <c r="P8" s="3"/>
      <c r="Q8" s="3"/>
      <c r="R8" s="3"/>
      <c r="S8" s="2"/>
      <c r="T8" s="2"/>
      <c r="U8" s="2"/>
    </row>
    <row r="9" spans="1:21" ht="15" customHeight="1">
      <c r="A9" s="15" t="s">
        <v>26</v>
      </c>
      <c r="B9" s="18"/>
      <c r="C9" s="18"/>
      <c r="D9" s="18"/>
      <c r="E9" s="18"/>
      <c r="F9" s="18"/>
      <c r="G9" s="3"/>
      <c r="H9" s="4" t="s">
        <v>27</v>
      </c>
      <c r="I9" s="4" t="s">
        <v>28</v>
      </c>
      <c r="J9" s="13">
        <v>0</v>
      </c>
      <c r="K9" s="4" t="str">
        <f t="shared" ref="K9:K14" si="0">InputLengthUnit</f>
        <v>mm</v>
      </c>
      <c r="L9" s="10" t="s">
        <v>29</v>
      </c>
      <c r="M9" s="3"/>
      <c r="N9" s="3"/>
      <c r="O9" s="3"/>
      <c r="P9" s="3"/>
      <c r="Q9" s="3"/>
      <c r="R9" s="3"/>
      <c r="S9" s="2"/>
      <c r="T9" s="2"/>
      <c r="U9" s="2"/>
    </row>
    <row r="10" spans="1:21" ht="15" customHeight="1">
      <c r="A10" s="18" t="s">
        <v>30</v>
      </c>
      <c r="B10" s="18"/>
      <c r="C10" s="18"/>
      <c r="D10" s="18"/>
      <c r="E10" s="18"/>
      <c r="F10" s="18"/>
      <c r="G10" s="3"/>
      <c r="H10" s="4" t="s">
        <v>31</v>
      </c>
      <c r="I10" s="4" t="s">
        <v>32</v>
      </c>
      <c r="J10" s="13">
        <v>0</v>
      </c>
      <c r="K10" s="4" t="str">
        <f t="shared" si="0"/>
        <v>mm</v>
      </c>
      <c r="L10" s="10" t="s">
        <v>33</v>
      </c>
      <c r="M10" s="3"/>
      <c r="N10" s="3"/>
      <c r="O10" s="3"/>
      <c r="P10" s="3"/>
      <c r="Q10" s="3"/>
      <c r="R10" s="3"/>
      <c r="S10" s="2"/>
      <c r="T10" s="2"/>
      <c r="U10" s="2"/>
    </row>
    <row r="11" spans="1:21" ht="15" customHeight="1">
      <c r="A11" s="18" t="s">
        <v>34</v>
      </c>
      <c r="B11" s="18"/>
      <c r="C11" s="18"/>
      <c r="D11" s="18"/>
      <c r="E11" s="18"/>
      <c r="F11" s="18"/>
      <c r="G11" s="3"/>
      <c r="H11" s="4" t="s">
        <v>35</v>
      </c>
      <c r="I11" s="4" t="s">
        <v>36</v>
      </c>
      <c r="J11" s="13">
        <v>250</v>
      </c>
      <c r="K11" s="4" t="str">
        <f t="shared" si="0"/>
        <v>mm</v>
      </c>
      <c r="L11" s="10" t="s">
        <v>37</v>
      </c>
      <c r="M11" s="3"/>
      <c r="N11" s="3"/>
      <c r="O11" s="3"/>
      <c r="P11" s="3"/>
      <c r="Q11" s="3"/>
      <c r="R11" s="3"/>
      <c r="S11" s="2"/>
      <c r="T11" s="2"/>
      <c r="U11" s="2"/>
    </row>
    <row r="12" spans="1:21" ht="15" customHeight="1">
      <c r="A12" s="15" t="s">
        <v>38</v>
      </c>
      <c r="B12" s="18"/>
      <c r="C12" s="18"/>
      <c r="D12" s="18"/>
      <c r="E12" s="18"/>
      <c r="F12" s="18"/>
      <c r="G12" s="3"/>
      <c r="H12" s="4" t="s">
        <v>39</v>
      </c>
      <c r="I12" s="4" t="s">
        <v>40</v>
      </c>
      <c r="J12" s="13">
        <v>550</v>
      </c>
      <c r="K12" s="4" t="str">
        <f t="shared" si="0"/>
        <v>mm</v>
      </c>
      <c r="L12" s="10" t="s">
        <v>41</v>
      </c>
      <c r="M12" s="3"/>
      <c r="N12" s="3"/>
      <c r="O12" s="3"/>
      <c r="P12" s="3"/>
      <c r="Q12" s="3"/>
      <c r="R12" s="3"/>
      <c r="S12" s="2"/>
      <c r="T12" s="2"/>
      <c r="U12" s="2"/>
    </row>
    <row r="13" spans="1:21" ht="15" customHeight="1">
      <c r="A13" s="18" t="s">
        <v>42</v>
      </c>
      <c r="B13" s="18"/>
      <c r="C13" s="18"/>
      <c r="D13" s="18"/>
      <c r="E13" s="18"/>
      <c r="F13" s="18"/>
      <c r="G13" s="3"/>
      <c r="H13" s="4" t="s">
        <v>43</v>
      </c>
      <c r="I13" s="4" t="s">
        <v>44</v>
      </c>
      <c r="J13" s="13">
        <v>600</v>
      </c>
      <c r="K13" s="4" t="str">
        <f t="shared" si="0"/>
        <v>mm</v>
      </c>
      <c r="L13" s="10" t="s">
        <v>45</v>
      </c>
      <c r="M13" s="3"/>
      <c r="N13" s="3"/>
      <c r="O13" s="3"/>
      <c r="P13" s="3"/>
      <c r="Q13" s="3"/>
      <c r="R13" s="3"/>
      <c r="S13" s="2"/>
      <c r="T13" s="2"/>
      <c r="U13" s="2"/>
    </row>
    <row r="14" spans="1:21" ht="15" customHeight="1">
      <c r="A14" s="18" t="s">
        <v>46</v>
      </c>
      <c r="B14" s="18"/>
      <c r="C14" s="18"/>
      <c r="D14" s="18"/>
      <c r="E14" s="18"/>
      <c r="F14" s="18"/>
      <c r="G14" s="3"/>
      <c r="H14" s="4" t="s">
        <v>47</v>
      </c>
      <c r="I14" s="4" t="s">
        <v>48</v>
      </c>
      <c r="J14" s="13">
        <v>250</v>
      </c>
      <c r="K14" s="4" t="str">
        <f t="shared" si="0"/>
        <v>mm</v>
      </c>
      <c r="L14" s="10" t="s">
        <v>49</v>
      </c>
      <c r="M14" s="3"/>
      <c r="N14" s="3"/>
      <c r="O14" s="3"/>
      <c r="P14" s="3"/>
      <c r="Q14" s="3"/>
      <c r="R14" s="3"/>
      <c r="S14" s="2"/>
      <c r="T14" s="2"/>
      <c r="U14" s="2"/>
    </row>
    <row r="15" spans="1:21" ht="15" customHeight="1">
      <c r="A15" s="18" t="s">
        <v>50</v>
      </c>
      <c r="B15" s="18"/>
      <c r="C15" s="18"/>
      <c r="D15" s="18"/>
      <c r="E15" s="18"/>
      <c r="F15" s="18"/>
      <c r="G15" s="3"/>
      <c r="H15" s="4"/>
      <c r="I15" s="4"/>
      <c r="J15" s="4"/>
      <c r="K15" s="4"/>
      <c r="L15" s="4"/>
      <c r="M15" s="3"/>
      <c r="N15" s="3"/>
      <c r="O15" s="3"/>
      <c r="P15" s="3"/>
      <c r="Q15" s="3"/>
      <c r="R15" s="3"/>
      <c r="S15" s="2"/>
      <c r="T15" s="2"/>
      <c r="U15" s="2"/>
    </row>
    <row r="16" spans="1:21" ht="15" customHeight="1">
      <c r="A16" s="18" t="s">
        <v>51</v>
      </c>
      <c r="B16" s="18"/>
      <c r="C16" s="18"/>
      <c r="D16" s="18"/>
      <c r="E16" s="18"/>
      <c r="F16" s="18"/>
      <c r="G16" s="3"/>
      <c r="H16" s="5" t="s">
        <v>52</v>
      </c>
      <c r="I16" s="16" t="s">
        <v>53</v>
      </c>
      <c r="J16" s="17"/>
      <c r="K16" s="17"/>
      <c r="L16" s="17"/>
      <c r="M16" s="3"/>
      <c r="N16" s="3"/>
      <c r="O16" s="3"/>
      <c r="P16" s="3"/>
      <c r="Q16" s="3"/>
      <c r="R16" s="3"/>
      <c r="S16" s="2"/>
      <c r="T16" s="2"/>
      <c r="U16" s="2"/>
    </row>
    <row r="17" spans="1:21" ht="15" customHeight="1">
      <c r="A17" s="18" t="s">
        <v>54</v>
      </c>
      <c r="B17" s="18"/>
      <c r="C17" s="18"/>
      <c r="D17" s="18"/>
      <c r="E17" s="18"/>
      <c r="F17" s="18"/>
      <c r="G17" s="3"/>
      <c r="H17" s="6" t="s">
        <v>55</v>
      </c>
      <c r="I17" s="6" t="s">
        <v>56</v>
      </c>
      <c r="J17" s="6" t="s">
        <v>57</v>
      </c>
      <c r="K17" s="6" t="s">
        <v>14</v>
      </c>
      <c r="L17" s="7" t="s">
        <v>15</v>
      </c>
      <c r="M17" s="3"/>
      <c r="N17" s="3"/>
      <c r="O17" s="3"/>
      <c r="P17" s="3"/>
      <c r="Q17" s="3"/>
      <c r="R17" s="3"/>
      <c r="S17" s="2"/>
      <c r="T17" s="2"/>
      <c r="U17" s="2"/>
    </row>
    <row r="18" spans="1:21" ht="15" customHeight="1">
      <c r="A18" s="18" t="s">
        <v>58</v>
      </c>
      <c r="B18" s="18"/>
      <c r="C18" s="18"/>
      <c r="D18" s="18"/>
      <c r="E18" s="18"/>
      <c r="F18" s="18"/>
      <c r="G18" s="3"/>
      <c r="H18" s="8" t="s">
        <v>18</v>
      </c>
      <c r="I18" s="8" t="s">
        <v>19</v>
      </c>
      <c r="J18" s="8" t="s">
        <v>20</v>
      </c>
      <c r="K18" s="8" t="s">
        <v>21</v>
      </c>
      <c r="L18" s="9" t="s">
        <v>22</v>
      </c>
      <c r="M18" s="3"/>
      <c r="N18" s="3"/>
      <c r="O18" s="3"/>
      <c r="P18" s="3"/>
      <c r="Q18" s="3"/>
      <c r="R18" s="3"/>
      <c r="S18" s="2"/>
      <c r="T18" s="2"/>
      <c r="U18" s="2"/>
    </row>
    <row r="19" spans="1:21" ht="15" customHeight="1">
      <c r="A19" s="18" t="s">
        <v>59</v>
      </c>
      <c r="B19" s="18"/>
      <c r="C19" s="18"/>
      <c r="D19" s="18"/>
      <c r="E19" s="18"/>
      <c r="F19" s="18"/>
      <c r="G19" s="3"/>
      <c r="H19" s="4" t="s">
        <v>60</v>
      </c>
      <c r="I19" s="4" t="s">
        <v>61</v>
      </c>
      <c r="J19" s="13">
        <f>J11</f>
        <v>250</v>
      </c>
      <c r="K19" s="4" t="str">
        <f t="shared" ref="K19:K26" si="1">InputLengthUnit</f>
        <v>mm</v>
      </c>
      <c r="L19" s="10" t="s">
        <v>62</v>
      </c>
      <c r="M19" s="3"/>
      <c r="N19" s="3"/>
      <c r="O19" s="3"/>
      <c r="P19" s="3"/>
      <c r="Q19" s="3"/>
      <c r="R19" s="3"/>
      <c r="S19" s="2"/>
      <c r="T19" s="2"/>
      <c r="U19" s="2"/>
    </row>
    <row r="20" spans="1:21" ht="15" customHeight="1">
      <c r="A20" s="18" t="s">
        <v>63</v>
      </c>
      <c r="B20" s="18"/>
      <c r="C20" s="18"/>
      <c r="D20" s="18"/>
      <c r="E20" s="18"/>
      <c r="F20" s="18"/>
      <c r="G20" s="3"/>
      <c r="H20" s="4" t="s">
        <v>64</v>
      </c>
      <c r="I20" s="4" t="s">
        <v>65</v>
      </c>
      <c r="J20" s="13">
        <f>J11</f>
        <v>250</v>
      </c>
      <c r="K20" s="4" t="str">
        <f t="shared" si="1"/>
        <v>mm</v>
      </c>
      <c r="L20" s="10" t="s">
        <v>66</v>
      </c>
      <c r="M20" s="3"/>
      <c r="N20" s="3"/>
      <c r="O20" s="3"/>
      <c r="P20" s="3"/>
      <c r="Q20" s="3"/>
      <c r="R20" s="3"/>
      <c r="S20" s="2"/>
      <c r="T20" s="2"/>
      <c r="U20" s="2"/>
    </row>
    <row r="21" spans="1:21" ht="15" customHeight="1">
      <c r="A21" s="18" t="s">
        <v>67</v>
      </c>
      <c r="B21" s="18"/>
      <c r="C21" s="18"/>
      <c r="D21" s="18"/>
      <c r="E21" s="18"/>
      <c r="F21" s="18"/>
      <c r="G21" s="3"/>
      <c r="H21" s="4" t="s">
        <v>68</v>
      </c>
      <c r="I21" s="4" t="s">
        <v>69</v>
      </c>
      <c r="J21" s="13">
        <f>J12</f>
        <v>550</v>
      </c>
      <c r="K21" s="4" t="str">
        <f t="shared" si="1"/>
        <v>mm</v>
      </c>
      <c r="L21" s="10" t="s">
        <v>70</v>
      </c>
      <c r="M21" s="3"/>
      <c r="N21" s="3"/>
      <c r="O21" s="3"/>
      <c r="P21" s="3"/>
      <c r="Q21" s="3"/>
      <c r="R21" s="3"/>
      <c r="S21" s="2"/>
      <c r="T21" s="2"/>
      <c r="U21" s="2"/>
    </row>
    <row r="22" spans="1:21" ht="15" customHeight="1">
      <c r="A22" s="3"/>
      <c r="B22" s="3"/>
      <c r="C22" s="3"/>
      <c r="D22" s="3"/>
      <c r="E22" s="3"/>
      <c r="F22" s="3"/>
      <c r="G22" s="3"/>
      <c r="H22" s="4" t="s">
        <v>71</v>
      </c>
      <c r="I22" s="4" t="s">
        <v>72</v>
      </c>
      <c r="J22" s="13">
        <f>J12</f>
        <v>550</v>
      </c>
      <c r="K22" s="4" t="str">
        <f t="shared" si="1"/>
        <v>mm</v>
      </c>
      <c r="L22" s="10" t="s">
        <v>73</v>
      </c>
      <c r="M22" s="3"/>
      <c r="N22" s="3"/>
      <c r="O22" s="3"/>
      <c r="P22" s="3"/>
      <c r="Q22" s="3"/>
      <c r="R22" s="3"/>
      <c r="S22" s="2"/>
      <c r="T22" s="2"/>
      <c r="U22" s="2"/>
    </row>
    <row r="23" spans="1:21" ht="15" customHeight="1">
      <c r="A23" s="3"/>
      <c r="B23" s="3"/>
      <c r="C23" s="3"/>
      <c r="D23" s="3"/>
      <c r="E23" s="3"/>
      <c r="F23" s="3"/>
      <c r="G23" s="3"/>
      <c r="H23" s="4" t="s">
        <v>74</v>
      </c>
      <c r="I23" s="4" t="s">
        <v>75</v>
      </c>
      <c r="J23" s="13">
        <f>J13</f>
        <v>600</v>
      </c>
      <c r="K23" s="4" t="str">
        <f t="shared" si="1"/>
        <v>mm</v>
      </c>
      <c r="L23" s="10" t="s">
        <v>76</v>
      </c>
      <c r="M23" s="3"/>
      <c r="N23" s="3"/>
      <c r="O23" s="3"/>
      <c r="P23" s="3"/>
      <c r="Q23" s="3"/>
      <c r="R23" s="3"/>
      <c r="S23" s="2"/>
      <c r="T23" s="2"/>
      <c r="U23" s="2"/>
    </row>
    <row r="24" spans="1:21" ht="15" customHeight="1">
      <c r="A24" s="3"/>
      <c r="B24" s="3"/>
      <c r="C24" s="3"/>
      <c r="D24" s="3"/>
      <c r="E24" s="3"/>
      <c r="F24" s="3"/>
      <c r="G24" s="3"/>
      <c r="H24" s="4" t="s">
        <v>77</v>
      </c>
      <c r="I24" s="4" t="s">
        <v>78</v>
      </c>
      <c r="J24" s="13">
        <f>J13</f>
        <v>600</v>
      </c>
      <c r="K24" s="4" t="str">
        <f t="shared" si="1"/>
        <v>mm</v>
      </c>
      <c r="L24" s="10" t="s">
        <v>79</v>
      </c>
      <c r="M24" s="3"/>
      <c r="N24" s="3"/>
      <c r="O24" s="3"/>
      <c r="P24" s="3"/>
      <c r="Q24" s="3"/>
      <c r="R24" s="3"/>
      <c r="S24" s="2"/>
      <c r="T24" s="2"/>
      <c r="U24" s="2"/>
    </row>
    <row r="25" spans="1:21" ht="15" customHeight="1">
      <c r="A25" s="3"/>
      <c r="B25" s="3"/>
      <c r="C25" s="3"/>
      <c r="D25" s="3"/>
      <c r="E25" s="3"/>
      <c r="F25" s="3"/>
      <c r="G25" s="3"/>
      <c r="H25" s="4" t="s">
        <v>80</v>
      </c>
      <c r="I25" s="4" t="s">
        <v>81</v>
      </c>
      <c r="J25" s="13">
        <f>J14</f>
        <v>250</v>
      </c>
      <c r="K25" s="4" t="str">
        <f t="shared" si="1"/>
        <v>mm</v>
      </c>
      <c r="L25" s="10" t="s">
        <v>82</v>
      </c>
      <c r="M25" s="3"/>
      <c r="N25" s="3"/>
      <c r="O25" s="3"/>
      <c r="P25" s="3"/>
      <c r="Q25" s="3"/>
      <c r="R25" s="3"/>
      <c r="S25" s="2"/>
      <c r="T25" s="2"/>
      <c r="U25" s="2"/>
    </row>
    <row r="26" spans="1:21" ht="15" customHeight="1">
      <c r="A26" s="3"/>
      <c r="B26" s="3"/>
      <c r="C26" s="3"/>
      <c r="D26" s="3"/>
      <c r="E26" s="3"/>
      <c r="F26" s="3"/>
      <c r="G26" s="3"/>
      <c r="H26" s="4" t="s">
        <v>83</v>
      </c>
      <c r="I26" s="4" t="s">
        <v>84</v>
      </c>
      <c r="J26" s="13">
        <f>J14</f>
        <v>250</v>
      </c>
      <c r="K26" s="4" t="str">
        <f t="shared" si="1"/>
        <v>mm</v>
      </c>
      <c r="L26" s="10" t="s">
        <v>85</v>
      </c>
      <c r="M26" s="3"/>
      <c r="N26" s="3"/>
      <c r="O26" s="3"/>
      <c r="P26" s="3"/>
      <c r="Q26" s="3"/>
      <c r="R26" s="3"/>
      <c r="S26" s="2"/>
      <c r="T26" s="2"/>
      <c r="U26" s="2"/>
    </row>
    <row r="27" spans="1:21" ht="15" customHeight="1">
      <c r="A27" s="3"/>
      <c r="B27" s="3"/>
      <c r="C27" s="3"/>
      <c r="D27" s="3"/>
      <c r="E27" s="3"/>
      <c r="F27" s="3"/>
      <c r="G27" s="3"/>
      <c r="H27" s="3"/>
      <c r="I27" s="3"/>
      <c r="J27" s="3"/>
      <c r="K27" s="3"/>
      <c r="L27" s="3"/>
      <c r="M27" s="3"/>
      <c r="N27" s="3"/>
      <c r="O27" s="3"/>
      <c r="P27" s="3"/>
      <c r="Q27" s="3"/>
      <c r="R27" s="3"/>
      <c r="S27" s="2"/>
      <c r="T27" s="2"/>
      <c r="U27" s="2"/>
    </row>
    <row r="28" spans="1:21" ht="15" customHeight="1">
      <c r="A28" s="3"/>
      <c r="B28" s="3"/>
      <c r="C28" s="3"/>
      <c r="D28" s="3"/>
      <c r="E28" s="3"/>
      <c r="F28" s="3"/>
      <c r="G28" s="3"/>
      <c r="H28" s="15" t="s">
        <v>86</v>
      </c>
      <c r="I28" s="15"/>
      <c r="J28" s="15"/>
      <c r="K28" s="15"/>
      <c r="L28" s="15"/>
      <c r="M28" s="15"/>
      <c r="N28" s="15"/>
      <c r="O28" s="15"/>
      <c r="P28" s="15"/>
      <c r="Q28" s="15"/>
      <c r="R28" s="19" t="s">
        <v>6</v>
      </c>
      <c r="S28" s="2"/>
      <c r="T28" s="2"/>
      <c r="U28" s="2"/>
    </row>
    <row r="29" spans="1:21" ht="15" customHeight="1">
      <c r="A29" s="3"/>
      <c r="B29" s="3"/>
      <c r="C29" s="3"/>
      <c r="D29" s="3"/>
      <c r="E29" s="3"/>
      <c r="F29" s="3"/>
      <c r="G29" s="3"/>
      <c r="H29" s="5" t="s">
        <v>87</v>
      </c>
      <c r="I29" s="16" t="s">
        <v>88</v>
      </c>
      <c r="J29" s="17"/>
      <c r="K29" s="17"/>
      <c r="L29" s="17"/>
      <c r="M29" s="17"/>
      <c r="N29" s="17"/>
      <c r="O29" s="17"/>
      <c r="P29" s="4"/>
      <c r="Q29" s="4"/>
      <c r="R29" s="4"/>
      <c r="S29" s="2"/>
      <c r="T29" s="2"/>
      <c r="U29" s="2"/>
    </row>
    <row r="30" spans="1:21" ht="15" customHeight="1">
      <c r="A30" s="3"/>
      <c r="B30" s="3"/>
      <c r="C30" s="3"/>
      <c r="D30" s="3"/>
      <c r="E30" s="3"/>
      <c r="F30" s="3"/>
      <c r="G30" s="3"/>
      <c r="H30" s="6" t="s">
        <v>12</v>
      </c>
      <c r="I30" s="6" t="s">
        <v>56</v>
      </c>
      <c r="J30" s="6" t="s">
        <v>89</v>
      </c>
      <c r="K30" s="6" t="s">
        <v>90</v>
      </c>
      <c r="L30" s="6" t="s">
        <v>91</v>
      </c>
      <c r="M30" s="6" t="s">
        <v>92</v>
      </c>
      <c r="N30" s="6" t="s">
        <v>93</v>
      </c>
      <c r="O30" s="7" t="s">
        <v>15</v>
      </c>
      <c r="P30" s="4"/>
      <c r="Q30" s="4"/>
      <c r="R30" s="4"/>
      <c r="S30" s="2"/>
      <c r="T30" s="2"/>
      <c r="U30" s="2"/>
    </row>
    <row r="31" spans="1:21" ht="15" customHeight="1">
      <c r="A31" s="3"/>
      <c r="B31" s="3"/>
      <c r="C31" s="3"/>
      <c r="D31" s="3"/>
      <c r="E31" s="3"/>
      <c r="F31" s="3"/>
      <c r="G31" s="3"/>
      <c r="H31" s="8" t="s">
        <v>18</v>
      </c>
      <c r="I31" s="8" t="s">
        <v>94</v>
      </c>
      <c r="J31" s="8" t="s">
        <v>95</v>
      </c>
      <c r="K31" s="8" t="s">
        <v>96</v>
      </c>
      <c r="L31" s="8" t="s">
        <v>97</v>
      </c>
      <c r="M31" s="8" t="s">
        <v>98</v>
      </c>
      <c r="N31" s="8" t="s">
        <v>99</v>
      </c>
      <c r="O31" s="9" t="s">
        <v>22</v>
      </c>
      <c r="P31" s="4"/>
      <c r="Q31" s="4"/>
      <c r="R31" s="4"/>
      <c r="S31" s="2"/>
      <c r="T31" s="2"/>
      <c r="U31" s="2"/>
    </row>
    <row r="32" spans="1:21" ht="15" customHeight="1">
      <c r="A32" s="3"/>
      <c r="B32" s="3"/>
      <c r="C32" s="3"/>
      <c r="D32" s="3"/>
      <c r="E32" s="3"/>
      <c r="F32" s="3"/>
      <c r="G32" s="3"/>
      <c r="H32" s="11" t="s">
        <v>100</v>
      </c>
      <c r="I32" s="11" t="s">
        <v>101</v>
      </c>
      <c r="J32" s="11" t="str">
        <f>InputLengthUnit</f>
        <v>mm</v>
      </c>
      <c r="K32" s="11" t="str">
        <f>InputLengthUnit</f>
        <v>mm</v>
      </c>
      <c r="L32" s="11" t="s">
        <v>102</v>
      </c>
      <c r="M32" s="11" t="str">
        <f>InputLengthUnit</f>
        <v>mm</v>
      </c>
      <c r="N32" s="11" t="str">
        <f>InputLengthUnit</f>
        <v>mm</v>
      </c>
      <c r="O32" s="12"/>
      <c r="P32" s="11"/>
      <c r="Q32" s="11"/>
      <c r="R32" s="11"/>
      <c r="S32" s="2"/>
      <c r="T32" s="2"/>
      <c r="U32" s="2"/>
    </row>
    <row r="33" spans="1:21" ht="15" customHeight="1">
      <c r="A33" s="3"/>
      <c r="B33" s="3"/>
      <c r="C33" s="3"/>
      <c r="D33" s="3"/>
      <c r="E33" s="3"/>
      <c r="F33" s="3"/>
      <c r="G33" s="3"/>
      <c r="H33" s="4" t="str">
        <f>IF(OR(selGeometryType="",INDEX(rngCurrentSideKeys,1)=""),"",selGeometryType&amp;"."&amp;INDEX(rngCurrentSideKeys,1))</f>
        <v>LSection.R1.Top</v>
      </c>
      <c r="I33" s="4" t="str">
        <f>IF(H33="","",INDEX(rngCurrentSideNames,1)&amp;"")</f>
        <v>R1: сверху</v>
      </c>
      <c r="J33" s="13">
        <v>40</v>
      </c>
      <c r="K33" s="13">
        <v>20</v>
      </c>
      <c r="L33" s="14">
        <v>2</v>
      </c>
      <c r="M33" s="13">
        <v>40</v>
      </c>
      <c r="N33" s="13">
        <v>40</v>
      </c>
      <c r="O33" s="10" t="s">
        <v>103</v>
      </c>
      <c r="P33" s="4"/>
      <c r="Q33" s="4"/>
      <c r="R33" s="4"/>
      <c r="S33" s="2"/>
      <c r="T33" s="2"/>
      <c r="U33" s="2"/>
    </row>
    <row r="34" spans="1:21" ht="15" customHeight="1">
      <c r="A34" s="3"/>
      <c r="B34" s="3"/>
      <c r="C34" s="3"/>
      <c r="D34" s="3"/>
      <c r="E34" s="3"/>
      <c r="F34" s="3"/>
      <c r="G34" s="3"/>
      <c r="H34" s="4" t="str">
        <f>IF(OR(selGeometryType="",INDEX(rngCurrentSideKeys,2)=""),"",selGeometryType&amp;"."&amp;INDEX(rngCurrentSideKeys,2))</f>
        <v>LSection.R1.Bottom</v>
      </c>
      <c r="I34" s="4" t="str">
        <f>IF(H34="","",INDEX(rngCurrentSideNames,2)&amp;"")</f>
        <v>R1: снизу</v>
      </c>
      <c r="J34" s="13">
        <v>40</v>
      </c>
      <c r="K34" s="13">
        <v>20</v>
      </c>
      <c r="L34" s="14">
        <v>2</v>
      </c>
      <c r="M34" s="13">
        <v>40</v>
      </c>
      <c r="N34" s="13">
        <v>40</v>
      </c>
      <c r="O34" s="10" t="s">
        <v>104</v>
      </c>
      <c r="P34" s="4"/>
      <c r="Q34" s="4"/>
      <c r="R34" s="4"/>
      <c r="S34" s="2"/>
      <c r="T34" s="2"/>
      <c r="U34" s="2"/>
    </row>
    <row r="35" spans="1:21" ht="15" customHeight="1">
      <c r="A35" s="3"/>
      <c r="B35" s="3"/>
      <c r="C35" s="3"/>
      <c r="D35" s="3"/>
      <c r="E35" s="3"/>
      <c r="F35" s="3"/>
      <c r="G35" s="3"/>
      <c r="H35" s="4" t="str">
        <f>IF(OR(selGeometryType="",INDEX(rngCurrentSideKeys,3)=""),"",selGeometryType&amp;"."&amp;INDEX(rngCurrentSideKeys,3))</f>
        <v>LSection.R1.Left</v>
      </c>
      <c r="I35" s="4" t="str">
        <f>IF(H35="","",INDEX(rngCurrentSideNames,3)&amp;"")</f>
        <v>R1: слева</v>
      </c>
      <c r="J35" s="13">
        <v>40</v>
      </c>
      <c r="K35" s="13">
        <v>20</v>
      </c>
      <c r="L35" s="14">
        <v>5</v>
      </c>
      <c r="M35" s="13">
        <v>40</v>
      </c>
      <c r="N35" s="13">
        <v>40</v>
      </c>
      <c r="O35" s="10" t="s">
        <v>105</v>
      </c>
      <c r="P35" s="4"/>
      <c r="Q35" s="4"/>
      <c r="R35" s="4"/>
      <c r="S35" s="2"/>
      <c r="T35" s="2"/>
      <c r="U35" s="2"/>
    </row>
    <row r="36" spans="1:21" ht="15" customHeight="1">
      <c r="A36" s="3"/>
      <c r="B36" s="3"/>
      <c r="C36" s="3"/>
      <c r="D36" s="3"/>
      <c r="E36" s="3"/>
      <c r="F36" s="3"/>
      <c r="G36" s="3"/>
      <c r="H36" s="4" t="str">
        <f>IF(OR(selGeometryType="",INDEX(rngCurrentSideKeys,4)=""),"",selGeometryType&amp;"."&amp;INDEX(rngCurrentSideKeys,4))</f>
        <v>LSection.R1.Right</v>
      </c>
      <c r="I36" s="4" t="str">
        <f>IF(H36="","",INDEX(rngCurrentSideNames,4)&amp;"")</f>
        <v>R1: справа</v>
      </c>
      <c r="J36" s="13">
        <v>40</v>
      </c>
      <c r="K36" s="13">
        <v>20</v>
      </c>
      <c r="L36" s="14">
        <v>5</v>
      </c>
      <c r="M36" s="13">
        <v>40</v>
      </c>
      <c r="N36" s="13">
        <v>40</v>
      </c>
      <c r="O36" s="10" t="s">
        <v>106</v>
      </c>
      <c r="P36" s="4"/>
      <c r="Q36" s="4"/>
      <c r="R36" s="4"/>
      <c r="S36" s="2"/>
      <c r="T36" s="2"/>
      <c r="U36" s="2"/>
    </row>
    <row r="37" spans="1:21" ht="15" customHeight="1">
      <c r="A37" s="3"/>
      <c r="B37" s="3"/>
      <c r="C37" s="3"/>
      <c r="D37" s="3"/>
      <c r="E37" s="3"/>
      <c r="F37" s="3"/>
      <c r="G37" s="3"/>
      <c r="H37" s="4" t="str">
        <f>IF(OR(selGeometryType="",INDEX(rngCurrentSideKeys,5)=""),"",selGeometryType&amp;"."&amp;INDEX(rngCurrentSideKeys,5))</f>
        <v>LSection.R2.Top</v>
      </c>
      <c r="I37" s="4" t="str">
        <f>IF(H37="","",INDEX(rngCurrentSideNames,5)&amp;"")</f>
        <v>R2: сверху</v>
      </c>
      <c r="J37" s="13">
        <v>40</v>
      </c>
      <c r="K37" s="13">
        <v>20</v>
      </c>
      <c r="L37" s="14">
        <v>5</v>
      </c>
      <c r="M37" s="13">
        <v>40</v>
      </c>
      <c r="N37" s="13">
        <v>40</v>
      </c>
      <c r="O37" s="10" t="s">
        <v>107</v>
      </c>
      <c r="P37" s="4"/>
      <c r="Q37" s="4"/>
      <c r="R37" s="4"/>
      <c r="S37" s="2"/>
      <c r="T37" s="2"/>
      <c r="U37" s="2"/>
    </row>
    <row r="38" spans="1:21" ht="15" customHeight="1">
      <c r="A38" s="3"/>
      <c r="B38" s="3"/>
      <c r="C38" s="3"/>
      <c r="D38" s="3"/>
      <c r="E38" s="3"/>
      <c r="F38" s="3"/>
      <c r="G38" s="3"/>
      <c r="H38" s="4" t="str">
        <f>IF(OR(selGeometryType="",INDEX(rngCurrentSideKeys,6)=""),"",selGeometryType&amp;"."&amp;INDEX(rngCurrentSideKeys,6))</f>
        <v>LSection.R2.Bottom</v>
      </c>
      <c r="I38" s="4" t="str">
        <f>IF(H38="","",INDEX(rngCurrentSideNames,6)&amp;"")</f>
        <v>R2: снизу</v>
      </c>
      <c r="J38" s="13">
        <v>40</v>
      </c>
      <c r="K38" s="13">
        <v>20</v>
      </c>
      <c r="L38" s="14">
        <v>5</v>
      </c>
      <c r="M38" s="13">
        <v>40</v>
      </c>
      <c r="N38" s="13">
        <v>40</v>
      </c>
      <c r="O38" s="10" t="s">
        <v>108</v>
      </c>
      <c r="P38" s="4"/>
      <c r="Q38" s="4"/>
      <c r="R38" s="4"/>
      <c r="S38" s="2"/>
      <c r="T38" s="2"/>
      <c r="U38" s="2"/>
    </row>
    <row r="39" spans="1:21" ht="15" customHeight="1">
      <c r="A39" s="3"/>
      <c r="B39" s="3"/>
      <c r="C39" s="3"/>
      <c r="D39" s="3"/>
      <c r="E39" s="3"/>
      <c r="F39" s="3"/>
      <c r="G39" s="3"/>
      <c r="H39" s="4" t="str">
        <f>IF(OR(selGeometryType="",INDEX(rngCurrentSideKeys,7)=""),"",selGeometryType&amp;"."&amp;INDEX(rngCurrentSideKeys,7))</f>
        <v>LSection.R2.Left</v>
      </c>
      <c r="I39" s="4" t="str">
        <f>IF(H39="","",INDEX(rngCurrentSideNames,7)&amp;"")</f>
        <v>R2: слева</v>
      </c>
      <c r="J39" s="13">
        <v>40</v>
      </c>
      <c r="K39" s="13">
        <v>20</v>
      </c>
      <c r="L39" s="14">
        <v>2</v>
      </c>
      <c r="M39" s="13">
        <v>40</v>
      </c>
      <c r="N39" s="13">
        <v>40</v>
      </c>
      <c r="O39" s="10" t="s">
        <v>109</v>
      </c>
      <c r="P39" s="4"/>
      <c r="Q39" s="4"/>
      <c r="R39" s="4"/>
      <c r="S39" s="2"/>
      <c r="T39" s="2"/>
      <c r="U39" s="2"/>
    </row>
    <row r="40" spans="1:21" ht="15" customHeight="1">
      <c r="A40" s="3"/>
      <c r="B40" s="3"/>
      <c r="C40" s="3"/>
      <c r="D40" s="3"/>
      <c r="E40" s="3"/>
      <c r="F40" s="3"/>
      <c r="G40" s="3"/>
      <c r="H40" s="4" t="str">
        <f>IF(OR(selGeometryType="",INDEX(rngCurrentSideKeys,8)=""),"",selGeometryType&amp;"."&amp;INDEX(rngCurrentSideKeys,8))</f>
        <v>LSection.R2.Right</v>
      </c>
      <c r="I40" s="4" t="str">
        <f>IF(H40="","",INDEX(rngCurrentSideNames,8)&amp;"")</f>
        <v>R2: справа</v>
      </c>
      <c r="J40" s="13">
        <v>40</v>
      </c>
      <c r="K40" s="13">
        <v>20</v>
      </c>
      <c r="L40" s="14">
        <v>2</v>
      </c>
      <c r="M40" s="13">
        <v>40</v>
      </c>
      <c r="N40" s="13">
        <v>40</v>
      </c>
      <c r="O40" s="10" t="s">
        <v>110</v>
      </c>
      <c r="P40" s="4"/>
      <c r="Q40" s="4"/>
      <c r="R40" s="4"/>
      <c r="S40" s="2"/>
      <c r="T40" s="2"/>
      <c r="U40" s="2"/>
    </row>
    <row r="41" spans="1:21" ht="15" customHeight="1">
      <c r="A41" s="3"/>
      <c r="B41" s="3"/>
      <c r="C41" s="3"/>
      <c r="D41" s="3"/>
      <c r="E41" s="3"/>
      <c r="F41" s="3"/>
      <c r="G41" s="3"/>
      <c r="H41" s="4"/>
      <c r="I41" s="4"/>
      <c r="J41" s="4"/>
      <c r="K41" s="4"/>
      <c r="L41" s="4"/>
      <c r="M41" s="4"/>
      <c r="N41" s="4"/>
      <c r="O41" s="4"/>
      <c r="P41" s="4"/>
      <c r="Q41" s="4"/>
      <c r="R41" s="4"/>
      <c r="S41" s="2"/>
      <c r="T41" s="2"/>
      <c r="U41" s="2"/>
    </row>
    <row r="42" spans="1:21" ht="15" customHeight="1">
      <c r="A42" s="3"/>
      <c r="B42" s="3"/>
      <c r="C42" s="3"/>
      <c r="D42" s="3"/>
      <c r="E42" s="3"/>
      <c r="F42" s="3"/>
      <c r="G42" s="3"/>
      <c r="H42" s="5" t="s">
        <v>111</v>
      </c>
      <c r="I42" s="16" t="s">
        <v>112</v>
      </c>
      <c r="J42" s="17"/>
      <c r="K42" s="17"/>
      <c r="L42" s="17"/>
      <c r="M42" s="17"/>
      <c r="N42" s="17"/>
      <c r="O42" s="17"/>
      <c r="P42" s="17"/>
      <c r="Q42" s="17"/>
      <c r="R42" s="17"/>
      <c r="S42" s="2"/>
      <c r="T42" s="2"/>
      <c r="U42" s="2"/>
    </row>
    <row r="43" spans="1:21" ht="15" customHeight="1">
      <c r="A43" s="3"/>
      <c r="B43" s="3"/>
      <c r="C43" s="3"/>
      <c r="D43" s="3"/>
      <c r="E43" s="3"/>
      <c r="F43" s="3"/>
      <c r="G43" s="3"/>
      <c r="H43" s="6" t="s">
        <v>12</v>
      </c>
      <c r="I43" s="6" t="s">
        <v>56</v>
      </c>
      <c r="J43" s="6" t="s">
        <v>113</v>
      </c>
      <c r="K43" s="6" t="s">
        <v>114</v>
      </c>
      <c r="L43" s="6" t="s">
        <v>115</v>
      </c>
      <c r="M43" s="6" t="s">
        <v>116</v>
      </c>
      <c r="N43" s="6" t="s">
        <v>117</v>
      </c>
      <c r="O43" s="6" t="s">
        <v>118</v>
      </c>
      <c r="P43" s="6" t="s">
        <v>119</v>
      </c>
      <c r="Q43" s="6" t="s">
        <v>120</v>
      </c>
      <c r="R43" s="7" t="s">
        <v>15</v>
      </c>
      <c r="S43" s="2"/>
      <c r="T43" s="2"/>
      <c r="U43" s="2"/>
    </row>
    <row r="44" spans="1:21" ht="15" customHeight="1">
      <c r="A44" s="3"/>
      <c r="B44" s="3"/>
      <c r="C44" s="3"/>
      <c r="D44" s="3"/>
      <c r="E44" s="3"/>
      <c r="F44" s="3"/>
      <c r="G44" s="3"/>
      <c r="H44" s="8" t="s">
        <v>18</v>
      </c>
      <c r="I44" s="8" t="s">
        <v>94</v>
      </c>
      <c r="J44" s="8" t="s">
        <v>121</v>
      </c>
      <c r="K44" s="8" t="s">
        <v>122</v>
      </c>
      <c r="L44" s="8" t="s">
        <v>123</v>
      </c>
      <c r="M44" s="8" t="s">
        <v>124</v>
      </c>
      <c r="N44" s="8" t="s">
        <v>125</v>
      </c>
      <c r="O44" s="8" t="s">
        <v>126</v>
      </c>
      <c r="P44" s="8" t="s">
        <v>127</v>
      </c>
      <c r="Q44" s="8" t="s">
        <v>128</v>
      </c>
      <c r="R44" s="9" t="s">
        <v>22</v>
      </c>
      <c r="S44" s="2"/>
      <c r="T44" s="2"/>
      <c r="U44" s="2"/>
    </row>
    <row r="45" spans="1:21" ht="15" customHeight="1">
      <c r="A45" s="3"/>
      <c r="B45" s="3"/>
      <c r="C45" s="3"/>
      <c r="D45" s="3"/>
      <c r="E45" s="3"/>
      <c r="F45" s="3"/>
      <c r="G45" s="3"/>
      <c r="H45" s="11" t="s">
        <v>100</v>
      </c>
      <c r="I45" s="11" t="s">
        <v>101</v>
      </c>
      <c r="J45" s="11" t="str">
        <f>InputLengthUnit</f>
        <v>mm</v>
      </c>
      <c r="K45" s="11" t="str">
        <f>InputLengthUnit</f>
        <v>mm</v>
      </c>
      <c r="L45" s="11" t="s">
        <v>24</v>
      </c>
      <c r="M45" s="11" t="s">
        <v>24</v>
      </c>
      <c r="N45" s="11" t="str">
        <f>InputLengthUnit</f>
        <v>mm</v>
      </c>
      <c r="O45" s="11" t="str">
        <f>InputLengthUnit</f>
        <v>mm</v>
      </c>
      <c r="P45" s="11" t="s">
        <v>24</v>
      </c>
      <c r="Q45" s="11" t="s">
        <v>24</v>
      </c>
      <c r="R45" s="12"/>
      <c r="S45" s="2"/>
      <c r="T45" s="2"/>
      <c r="U45" s="2"/>
    </row>
    <row r="46" spans="1:21" ht="15" customHeight="1">
      <c r="A46" s="3"/>
      <c r="B46" s="3"/>
      <c r="C46" s="3"/>
      <c r="D46" s="3"/>
      <c r="E46" s="3"/>
      <c r="F46" s="3"/>
      <c r="G46" s="3"/>
      <c r="H46" s="4" t="str">
        <f t="shared" ref="H46:I53" si="2">H33&amp;""</f>
        <v>LSection.R1.Top</v>
      </c>
      <c r="I46" s="4" t="str">
        <f t="shared" si="2"/>
        <v>R1: сверху</v>
      </c>
      <c r="J46" s="13">
        <v>16</v>
      </c>
      <c r="K46" s="13">
        <v>0</v>
      </c>
      <c r="L46" s="4" t="s">
        <v>129</v>
      </c>
      <c r="M46" s="4" t="s">
        <v>130</v>
      </c>
      <c r="N46" s="13">
        <v>12</v>
      </c>
      <c r="O46" s="13">
        <v>0</v>
      </c>
      <c r="P46" s="4" t="s">
        <v>131</v>
      </c>
      <c r="Q46" s="4" t="s">
        <v>132</v>
      </c>
      <c r="R46" s="10" t="s">
        <v>133</v>
      </c>
      <c r="S46" s="2"/>
      <c r="T46" s="2"/>
      <c r="U46" s="2"/>
    </row>
    <row r="47" spans="1:21" ht="15" customHeight="1">
      <c r="A47" s="3"/>
      <c r="B47" s="3"/>
      <c r="C47" s="3"/>
      <c r="D47" s="3"/>
      <c r="E47" s="3"/>
      <c r="F47" s="3"/>
      <c r="G47" s="3"/>
      <c r="H47" s="4" t="str">
        <f t="shared" si="2"/>
        <v>LSection.R1.Bottom</v>
      </c>
      <c r="I47" s="4" t="str">
        <f t="shared" si="2"/>
        <v>R1: снизу</v>
      </c>
      <c r="J47" s="13">
        <v>16</v>
      </c>
      <c r="K47" s="13">
        <v>60</v>
      </c>
      <c r="L47" s="4" t="s">
        <v>129</v>
      </c>
      <c r="M47" s="4" t="s">
        <v>130</v>
      </c>
      <c r="N47" s="13"/>
      <c r="O47" s="13">
        <v>0</v>
      </c>
      <c r="P47" s="4" t="s">
        <v>129</v>
      </c>
      <c r="Q47" s="4" t="s">
        <v>130</v>
      </c>
      <c r="R47" s="10" t="s">
        <v>134</v>
      </c>
      <c r="S47" s="2"/>
      <c r="T47" s="2"/>
      <c r="U47" s="2"/>
    </row>
    <row r="48" spans="1:21" ht="15" customHeight="1">
      <c r="A48" s="3"/>
      <c r="B48" s="3"/>
      <c r="C48" s="3"/>
      <c r="D48" s="3"/>
      <c r="E48" s="3"/>
      <c r="F48" s="3"/>
      <c r="G48" s="3"/>
      <c r="H48" s="4" t="str">
        <f t="shared" si="2"/>
        <v>LSection.R1.Left</v>
      </c>
      <c r="I48" s="4" t="str">
        <f t="shared" si="2"/>
        <v>R1: слева</v>
      </c>
      <c r="J48" s="13">
        <v>12</v>
      </c>
      <c r="K48" s="13">
        <v>50</v>
      </c>
      <c r="L48" s="4" t="s">
        <v>131</v>
      </c>
      <c r="M48" s="4" t="s">
        <v>130</v>
      </c>
      <c r="N48" s="13"/>
      <c r="O48" s="13">
        <v>0</v>
      </c>
      <c r="P48" s="4" t="s">
        <v>129</v>
      </c>
      <c r="Q48" s="4" t="s">
        <v>130</v>
      </c>
      <c r="R48" s="10" t="s">
        <v>135</v>
      </c>
      <c r="S48" s="2"/>
      <c r="T48" s="2"/>
      <c r="U48" s="2"/>
    </row>
    <row r="49" spans="1:21" ht="15" customHeight="1">
      <c r="A49" s="3"/>
      <c r="B49" s="3"/>
      <c r="C49" s="3"/>
      <c r="D49" s="3"/>
      <c r="E49" s="3"/>
      <c r="F49" s="3"/>
      <c r="G49" s="3"/>
      <c r="H49" s="4" t="str">
        <f t="shared" si="2"/>
        <v>LSection.R1.Right</v>
      </c>
      <c r="I49" s="4" t="str">
        <f t="shared" si="2"/>
        <v>R1: справа</v>
      </c>
      <c r="J49" s="13"/>
      <c r="K49" s="13">
        <v>0</v>
      </c>
      <c r="L49" s="4" t="s">
        <v>129</v>
      </c>
      <c r="M49" s="4" t="s">
        <v>130</v>
      </c>
      <c r="N49" s="13"/>
      <c r="O49" s="13">
        <v>0</v>
      </c>
      <c r="P49" s="4" t="s">
        <v>129</v>
      </c>
      <c r="Q49" s="4" t="s">
        <v>130</v>
      </c>
      <c r="R49" s="10" t="s">
        <v>136</v>
      </c>
      <c r="S49" s="2"/>
      <c r="T49" s="2"/>
      <c r="U49" s="2"/>
    </row>
    <row r="50" spans="1:21" ht="15" customHeight="1">
      <c r="A50" s="3"/>
      <c r="B50" s="3"/>
      <c r="C50" s="3"/>
      <c r="D50" s="3"/>
      <c r="E50" s="3"/>
      <c r="F50" s="3"/>
      <c r="G50" s="3"/>
      <c r="H50" s="4" t="str">
        <f t="shared" si="2"/>
        <v>LSection.R2.Top</v>
      </c>
      <c r="I50" s="4" t="str">
        <f t="shared" si="2"/>
        <v>R2: сверху</v>
      </c>
      <c r="J50" s="13">
        <v>16</v>
      </c>
      <c r="K50" s="13">
        <v>0</v>
      </c>
      <c r="L50" s="4" t="s">
        <v>129</v>
      </c>
      <c r="M50" s="4" t="s">
        <v>132</v>
      </c>
      <c r="N50" s="13">
        <v>12</v>
      </c>
      <c r="O50" s="13">
        <v>0</v>
      </c>
      <c r="P50" s="4" t="s">
        <v>131</v>
      </c>
      <c r="Q50" s="4" t="s">
        <v>130</v>
      </c>
      <c r="R50" s="10" t="s">
        <v>137</v>
      </c>
      <c r="S50" s="2"/>
      <c r="T50" s="2"/>
      <c r="U50" s="2"/>
    </row>
    <row r="51" spans="1:21" ht="15" customHeight="1">
      <c r="A51" s="3"/>
      <c r="B51" s="3"/>
      <c r="C51" s="3"/>
      <c r="D51" s="3"/>
      <c r="E51" s="3"/>
      <c r="F51" s="3"/>
      <c r="G51" s="3"/>
      <c r="H51" s="4" t="str">
        <f t="shared" si="2"/>
        <v>LSection.R2.Bottom</v>
      </c>
      <c r="I51" s="4" t="str">
        <f t="shared" si="2"/>
        <v>R2: снизу</v>
      </c>
      <c r="J51" s="13">
        <v>16</v>
      </c>
      <c r="K51" s="13">
        <v>70</v>
      </c>
      <c r="L51" s="4" t="s">
        <v>129</v>
      </c>
      <c r="M51" s="4" t="s">
        <v>130</v>
      </c>
      <c r="N51" s="13">
        <v>12</v>
      </c>
      <c r="O51" s="13">
        <v>70</v>
      </c>
      <c r="P51" s="4" t="s">
        <v>131</v>
      </c>
      <c r="Q51" s="4" t="s">
        <v>132</v>
      </c>
      <c r="R51" s="10" t="s">
        <v>138</v>
      </c>
      <c r="S51" s="2"/>
      <c r="T51" s="2"/>
      <c r="U51" s="2"/>
    </row>
    <row r="52" spans="1:21" ht="15" customHeight="1">
      <c r="A52" s="3"/>
      <c r="B52" s="3"/>
      <c r="C52" s="3"/>
      <c r="D52" s="3"/>
      <c r="E52" s="3"/>
      <c r="F52" s="3"/>
      <c r="G52" s="3"/>
      <c r="H52" s="4" t="str">
        <f t="shared" si="2"/>
        <v>LSection.R2.Left</v>
      </c>
      <c r="I52" s="4" t="str">
        <f t="shared" si="2"/>
        <v>R2: слева</v>
      </c>
      <c r="J52" s="13"/>
      <c r="K52" s="13">
        <v>0</v>
      </c>
      <c r="L52" s="4" t="s">
        <v>129</v>
      </c>
      <c r="M52" s="4" t="s">
        <v>130</v>
      </c>
      <c r="N52" s="13"/>
      <c r="O52" s="13">
        <v>0</v>
      </c>
      <c r="P52" s="4" t="s">
        <v>129</v>
      </c>
      <c r="Q52" s="4" t="s">
        <v>130</v>
      </c>
      <c r="R52" s="10" t="s">
        <v>139</v>
      </c>
      <c r="S52" s="2"/>
      <c r="T52" s="2"/>
      <c r="U52" s="2"/>
    </row>
    <row r="53" spans="1:21" ht="15" customHeight="1">
      <c r="A53" s="3"/>
      <c r="B53" s="3"/>
      <c r="C53" s="3"/>
      <c r="D53" s="3"/>
      <c r="E53" s="3"/>
      <c r="F53" s="3"/>
      <c r="G53" s="3"/>
      <c r="H53" s="4" t="str">
        <f t="shared" si="2"/>
        <v>LSection.R2.Right</v>
      </c>
      <c r="I53" s="4" t="str">
        <f t="shared" si="2"/>
        <v>R2: справа</v>
      </c>
      <c r="J53" s="13">
        <v>16</v>
      </c>
      <c r="K53" s="13">
        <v>60</v>
      </c>
      <c r="L53" s="4" t="s">
        <v>129</v>
      </c>
      <c r="M53" s="4" t="s">
        <v>130</v>
      </c>
      <c r="N53" s="13"/>
      <c r="O53" s="13">
        <v>0</v>
      </c>
      <c r="P53" s="4" t="s">
        <v>129</v>
      </c>
      <c r="Q53" s="4" t="s">
        <v>130</v>
      </c>
      <c r="R53" s="10" t="s">
        <v>140</v>
      </c>
      <c r="S53" s="2"/>
      <c r="T53" s="2"/>
      <c r="U53" s="2"/>
    </row>
    <row r="54" spans="1:21" ht="15" customHeight="1">
      <c r="A54" s="3"/>
      <c r="B54" s="3"/>
      <c r="C54" s="3"/>
      <c r="D54" s="3"/>
      <c r="E54" s="3"/>
      <c r="F54" s="3"/>
      <c r="G54" s="3"/>
      <c r="H54" s="3"/>
      <c r="I54" s="3"/>
      <c r="J54" s="3"/>
      <c r="K54" s="3"/>
      <c r="L54" s="3"/>
      <c r="M54" s="3"/>
      <c r="N54" s="3"/>
      <c r="O54" s="3"/>
      <c r="P54" s="3"/>
      <c r="Q54" s="3"/>
      <c r="R54" s="3"/>
      <c r="S54" s="2"/>
      <c r="T54" s="2"/>
      <c r="U54" s="2"/>
    </row>
    <row r="55" spans="1:21" ht="15" customHeight="1">
      <c r="A55" s="3"/>
      <c r="B55" s="3"/>
      <c r="C55" s="3"/>
      <c r="D55" s="3"/>
      <c r="E55" s="3"/>
      <c r="F55" s="3"/>
      <c r="G55" s="3"/>
      <c r="H55" s="15" t="s">
        <v>141</v>
      </c>
      <c r="I55" s="15"/>
      <c r="J55" s="15"/>
      <c r="K55" s="15"/>
      <c r="L55" s="19" t="s">
        <v>6</v>
      </c>
      <c r="M55" s="3"/>
      <c r="N55" s="3"/>
      <c r="O55" s="3"/>
      <c r="P55" s="3"/>
      <c r="Q55" s="3"/>
      <c r="R55" s="3"/>
      <c r="S55" s="2"/>
      <c r="T55" s="2"/>
      <c r="U55" s="2"/>
    </row>
    <row r="56" spans="1:21" ht="15" customHeight="1">
      <c r="A56" s="3"/>
      <c r="B56" s="3"/>
      <c r="C56" s="3"/>
      <c r="D56" s="3"/>
      <c r="E56" s="3"/>
      <c r="F56" s="3"/>
      <c r="G56" s="3"/>
      <c r="H56" s="5" t="s">
        <v>10</v>
      </c>
      <c r="I56" s="16" t="s">
        <v>11</v>
      </c>
      <c r="J56" s="17"/>
      <c r="K56" s="17"/>
      <c r="L56" s="17"/>
      <c r="M56" s="3"/>
      <c r="N56" s="3"/>
      <c r="O56" s="3"/>
      <c r="P56" s="3"/>
      <c r="Q56" s="3"/>
      <c r="R56" s="3"/>
      <c r="S56" s="2"/>
      <c r="T56" s="2"/>
      <c r="U56" s="2"/>
    </row>
    <row r="57" spans="1:21" ht="15" customHeight="1">
      <c r="A57" s="3"/>
      <c r="B57" s="3"/>
      <c r="C57" s="3"/>
      <c r="D57" s="3"/>
      <c r="E57" s="3"/>
      <c r="F57" s="3"/>
      <c r="G57" s="3"/>
      <c r="H57" s="6" t="s">
        <v>12</v>
      </c>
      <c r="I57" s="6" t="s">
        <v>1</v>
      </c>
      <c r="J57" s="6" t="s">
        <v>13</v>
      </c>
      <c r="K57" s="6" t="s">
        <v>14</v>
      </c>
      <c r="L57" s="7" t="s">
        <v>15</v>
      </c>
      <c r="M57" s="3"/>
      <c r="N57" s="3"/>
      <c r="O57" s="3"/>
      <c r="P57" s="3"/>
      <c r="Q57" s="3"/>
      <c r="R57" s="3"/>
      <c r="S57" s="2"/>
      <c r="T57" s="2"/>
      <c r="U57" s="2"/>
    </row>
    <row r="58" spans="1:21" ht="15" customHeight="1">
      <c r="A58" s="3"/>
      <c r="B58" s="3"/>
      <c r="C58" s="3"/>
      <c r="D58" s="3"/>
      <c r="E58" s="3"/>
      <c r="F58" s="3"/>
      <c r="G58" s="3"/>
      <c r="H58" s="8" t="s">
        <v>18</v>
      </c>
      <c r="I58" s="8" t="s">
        <v>19</v>
      </c>
      <c r="J58" s="8" t="s">
        <v>20</v>
      </c>
      <c r="K58" s="8" t="s">
        <v>21</v>
      </c>
      <c r="L58" s="9" t="s">
        <v>22</v>
      </c>
      <c r="M58" s="3"/>
      <c r="N58" s="3"/>
      <c r="O58" s="3"/>
      <c r="P58" s="3"/>
      <c r="Q58" s="3"/>
      <c r="R58" s="3"/>
      <c r="S58" s="2"/>
      <c r="T58" s="2"/>
      <c r="U58" s="2"/>
    </row>
    <row r="59" spans="1:21" ht="15" customHeight="1">
      <c r="A59" s="3"/>
      <c r="B59" s="3"/>
      <c r="C59" s="3"/>
      <c r="D59" s="3"/>
      <c r="E59" s="3"/>
      <c r="F59" s="3"/>
      <c r="G59" s="3"/>
      <c r="H59" s="4" t="s">
        <v>23</v>
      </c>
      <c r="I59" s="4" t="s">
        <v>16</v>
      </c>
      <c r="J59" s="4" t="s">
        <v>142</v>
      </c>
      <c r="K59" s="4" t="s">
        <v>24</v>
      </c>
      <c r="L59" s="10" t="s">
        <v>143</v>
      </c>
      <c r="M59" s="3"/>
      <c r="N59" s="3"/>
      <c r="O59" s="3"/>
      <c r="P59" s="3"/>
      <c r="Q59" s="3"/>
      <c r="R59" s="3"/>
      <c r="S59" s="2"/>
      <c r="T59" s="2"/>
      <c r="U59" s="2"/>
    </row>
    <row r="60" spans="1:21" ht="15" customHeight="1">
      <c r="A60" s="3"/>
      <c r="B60" s="3"/>
      <c r="C60" s="3"/>
      <c r="D60" s="3"/>
      <c r="E60" s="3"/>
      <c r="F60" s="3"/>
      <c r="G60" s="3"/>
      <c r="H60" s="4" t="s">
        <v>27</v>
      </c>
      <c r="I60" s="4" t="s">
        <v>28</v>
      </c>
      <c r="J60" s="13">
        <v>0</v>
      </c>
      <c r="K60" s="4" t="str">
        <f>InputLengthUnit</f>
        <v>mm</v>
      </c>
      <c r="L60" s="10" t="s">
        <v>29</v>
      </c>
      <c r="M60" s="3"/>
      <c r="N60" s="3"/>
      <c r="O60" s="3"/>
      <c r="P60" s="3"/>
      <c r="Q60" s="3"/>
      <c r="R60" s="3"/>
      <c r="S60" s="2"/>
      <c r="T60" s="2"/>
      <c r="U60" s="2"/>
    </row>
    <row r="61" spans="1:21" ht="15" customHeight="1">
      <c r="A61" s="3"/>
      <c r="B61" s="3"/>
      <c r="C61" s="3"/>
      <c r="D61" s="3"/>
      <c r="E61" s="3"/>
      <c r="F61" s="3"/>
      <c r="G61" s="3"/>
      <c r="H61" s="4" t="s">
        <v>31</v>
      </c>
      <c r="I61" s="4" t="s">
        <v>32</v>
      </c>
      <c r="J61" s="13">
        <v>0</v>
      </c>
      <c r="K61" s="4" t="str">
        <f>InputLengthUnit</f>
        <v>mm</v>
      </c>
      <c r="L61" s="10" t="s">
        <v>33</v>
      </c>
      <c r="M61" s="3"/>
      <c r="N61" s="3"/>
      <c r="O61" s="3"/>
      <c r="P61" s="3"/>
      <c r="Q61" s="3"/>
      <c r="R61" s="3"/>
      <c r="S61" s="2"/>
      <c r="T61" s="2"/>
      <c r="U61" s="2"/>
    </row>
    <row r="62" spans="1:21" ht="15" customHeight="1">
      <c r="A62" s="3"/>
      <c r="B62" s="3"/>
      <c r="C62" s="3"/>
      <c r="D62" s="3"/>
      <c r="E62" s="3"/>
      <c r="F62" s="3"/>
      <c r="G62" s="3"/>
      <c r="H62" s="4" t="s">
        <v>144</v>
      </c>
      <c r="I62" s="4" t="s">
        <v>90</v>
      </c>
      <c r="J62" s="13">
        <v>300</v>
      </c>
      <c r="K62" s="4" t="str">
        <f>InputLengthUnit</f>
        <v>mm</v>
      </c>
      <c r="L62" s="10" t="s">
        <v>145</v>
      </c>
      <c r="M62" s="3"/>
      <c r="N62" s="3"/>
      <c r="O62" s="3"/>
      <c r="P62" s="3"/>
      <c r="Q62" s="3"/>
      <c r="R62" s="3"/>
      <c r="S62" s="2"/>
      <c r="T62" s="2"/>
      <c r="U62" s="2"/>
    </row>
    <row r="63" spans="1:21" ht="15" customHeight="1">
      <c r="A63" s="3"/>
      <c r="B63" s="3"/>
      <c r="C63" s="3"/>
      <c r="D63" s="3"/>
      <c r="E63" s="3"/>
      <c r="F63" s="3"/>
      <c r="G63" s="3"/>
      <c r="H63" s="4"/>
      <c r="I63" s="4"/>
      <c r="J63" s="4"/>
      <c r="K63" s="4"/>
      <c r="L63" s="4"/>
      <c r="M63" s="3"/>
      <c r="N63" s="3"/>
      <c r="O63" s="3"/>
      <c r="P63" s="3"/>
      <c r="Q63" s="3"/>
      <c r="R63" s="3"/>
      <c r="S63" s="2"/>
      <c r="T63" s="2"/>
      <c r="U63" s="2"/>
    </row>
    <row r="64" spans="1:21" ht="15" customHeight="1">
      <c r="A64" s="3"/>
      <c r="B64" s="3"/>
      <c r="C64" s="3"/>
      <c r="D64" s="3"/>
      <c r="E64" s="3"/>
      <c r="F64" s="3"/>
      <c r="G64" s="3"/>
      <c r="H64" s="5" t="s">
        <v>52</v>
      </c>
      <c r="I64" s="16" t="s">
        <v>53</v>
      </c>
      <c r="J64" s="17"/>
      <c r="K64" s="17"/>
      <c r="L64" s="17"/>
      <c r="M64" s="3"/>
      <c r="N64" s="3"/>
      <c r="O64" s="3"/>
      <c r="P64" s="3"/>
      <c r="Q64" s="3"/>
      <c r="R64" s="3"/>
      <c r="S64" s="2"/>
      <c r="T64" s="2"/>
      <c r="U64" s="2"/>
    </row>
    <row r="65" spans="1:21" ht="15" customHeight="1">
      <c r="A65" s="3"/>
      <c r="B65" s="3"/>
      <c r="C65" s="3"/>
      <c r="D65" s="3"/>
      <c r="E65" s="3"/>
      <c r="F65" s="3"/>
      <c r="G65" s="3"/>
      <c r="H65" s="6" t="s">
        <v>146</v>
      </c>
      <c r="I65" s="6" t="s">
        <v>147</v>
      </c>
      <c r="J65" s="6" t="s">
        <v>57</v>
      </c>
      <c r="K65" s="6" t="s">
        <v>14</v>
      </c>
      <c r="L65" s="7" t="s">
        <v>15</v>
      </c>
      <c r="M65" s="3"/>
      <c r="N65" s="3"/>
      <c r="O65" s="3"/>
      <c r="P65" s="3"/>
      <c r="Q65" s="3"/>
      <c r="R65" s="3"/>
      <c r="S65" s="2"/>
      <c r="T65" s="2"/>
      <c r="U65" s="2"/>
    </row>
    <row r="66" spans="1:21" ht="15" customHeight="1">
      <c r="A66" s="3"/>
      <c r="B66" s="3"/>
      <c r="C66" s="3"/>
      <c r="D66" s="3"/>
      <c r="E66" s="3"/>
      <c r="F66" s="3"/>
      <c r="G66" s="3"/>
      <c r="H66" s="8" t="s">
        <v>18</v>
      </c>
      <c r="I66" s="8" t="s">
        <v>19</v>
      </c>
      <c r="J66" s="8" t="s">
        <v>20</v>
      </c>
      <c r="K66" s="8" t="s">
        <v>21</v>
      </c>
      <c r="L66" s="9" t="s">
        <v>22</v>
      </c>
      <c r="M66" s="3"/>
      <c r="N66" s="3"/>
      <c r="O66" s="3"/>
      <c r="P66" s="3"/>
      <c r="Q66" s="3"/>
      <c r="R66" s="3"/>
      <c r="S66" s="2"/>
      <c r="T66" s="2"/>
      <c r="U66" s="2"/>
    </row>
    <row r="67" spans="1:21" ht="15" customHeight="1">
      <c r="A67" s="3"/>
      <c r="B67" s="3"/>
      <c r="C67" s="3"/>
      <c r="D67" s="3"/>
      <c r="E67" s="3"/>
      <c r="F67" s="3"/>
      <c r="G67" s="3"/>
      <c r="H67" s="4" t="s">
        <v>142</v>
      </c>
      <c r="I67" s="4" t="s">
        <v>148</v>
      </c>
      <c r="J67" s="13">
        <f>PI()*J62</f>
        <v>942.47779607693792</v>
      </c>
      <c r="K67" s="4" t="str">
        <f>InputLengthUnit</f>
        <v>mm</v>
      </c>
      <c r="L67" s="10" t="s">
        <v>149</v>
      </c>
      <c r="M67" s="3"/>
      <c r="N67" s="3"/>
      <c r="O67" s="3"/>
      <c r="P67" s="3"/>
      <c r="Q67" s="3"/>
      <c r="R67" s="3"/>
      <c r="S67" s="2"/>
      <c r="T67" s="2"/>
      <c r="U67" s="2"/>
    </row>
    <row r="68" spans="1:21" ht="15" customHeight="1">
      <c r="A68" s="2"/>
      <c r="B68" s="2"/>
      <c r="C68" s="2"/>
      <c r="D68" s="2"/>
      <c r="E68" s="2"/>
      <c r="F68" s="2"/>
      <c r="G68" s="2"/>
      <c r="H68" s="2"/>
      <c r="I68" s="2"/>
      <c r="J68" s="2"/>
      <c r="K68" s="2"/>
      <c r="L68" s="2"/>
      <c r="M68" s="2"/>
      <c r="N68" s="2"/>
      <c r="O68" s="2"/>
      <c r="P68" s="2"/>
      <c r="Q68" s="2"/>
      <c r="R68" s="2"/>
      <c r="S68" s="2"/>
      <c r="T68" s="2"/>
      <c r="U68" s="2"/>
    </row>
    <row r="69" spans="1:21" ht="15" customHeight="1">
      <c r="A69" s="2"/>
      <c r="B69" s="2"/>
      <c r="C69" s="2"/>
      <c r="D69" s="2"/>
      <c r="E69" s="2"/>
      <c r="F69" s="2"/>
      <c r="G69" s="2"/>
      <c r="H69" s="2"/>
      <c r="I69" s="2"/>
      <c r="J69" s="2"/>
      <c r="K69" s="2"/>
      <c r="L69" s="2"/>
      <c r="M69" s="2"/>
      <c r="N69" s="2"/>
      <c r="O69" s="2"/>
      <c r="P69" s="2"/>
      <c r="Q69" s="2"/>
      <c r="R69" s="2"/>
      <c r="S69" s="2"/>
      <c r="T69" s="2"/>
      <c r="U69" s="2"/>
    </row>
  </sheetData>
  <mergeCells count="23">
    <mergeCell ref="I56:L56"/>
    <mergeCell ref="I64:L64"/>
    <mergeCell ref="A9:F9"/>
    <mergeCell ref="A10:F10"/>
    <mergeCell ref="A11:F11"/>
    <mergeCell ref="A12:F12"/>
    <mergeCell ref="A13:F13"/>
    <mergeCell ref="A14:F14"/>
    <mergeCell ref="A15:F15"/>
    <mergeCell ref="A16:F16"/>
    <mergeCell ref="A17:F17"/>
    <mergeCell ref="A18:F18"/>
    <mergeCell ref="A19:F19"/>
    <mergeCell ref="A20:F20"/>
    <mergeCell ref="A21:F21"/>
    <mergeCell ref="A3:D3"/>
    <mergeCell ref="H4:K4"/>
    <mergeCell ref="H28:Q28"/>
    <mergeCell ref="H55:K55"/>
    <mergeCell ref="I5:L5"/>
    <mergeCell ref="I16:L16"/>
    <mergeCell ref="I29:O29"/>
    <mergeCell ref="I42:R42"/>
  </mergeCells>
  <dataValidations count="39">
    <dataValidation type="list" allowBlank="1" sqref="B5" xr:uid="{00000000-0002-0000-0000-000000000000}">
      <formula1>lstInputLength</formula1>
    </dataValidation>
    <dataValidation type="list" allowBlank="1" sqref="B7" xr:uid="{00000000-0002-0000-0000-000001000000}">
      <formula1>lstGeometryType</formula1>
    </dataValidation>
    <dataValidation type="list" allowBlank="1" sqref="L46" xr:uid="{00000000-0002-0000-0000-000002000000}">
      <formula1>lstBind2_1</formula1>
    </dataValidation>
    <dataValidation type="list" allowBlank="1" sqref="M46" xr:uid="{00000000-0002-0000-0000-000003000000}">
      <formula1>lstPos2_1</formula1>
    </dataValidation>
    <dataValidation type="list" allowBlank="1" sqref="P46" xr:uid="{00000000-0002-0000-0000-000004000000}">
      <formula1>lstBind3_1</formula1>
    </dataValidation>
    <dataValidation type="list" allowBlank="1" sqref="Q46" xr:uid="{00000000-0002-0000-0000-000005000000}">
      <formula1>lstPos3_1</formula1>
    </dataValidation>
    <dataValidation type="decimal" operator="greaterThanOrEqual" allowBlank="1" sqref="O53" xr:uid="{00000000-0002-0000-0000-000006000000}">
      <formula1>0</formula1>
    </dataValidation>
    <dataValidation type="whole" operator="greaterThanOrEqual" allowBlank="1" sqref="L40" xr:uid="{00000000-0002-0000-0000-00000A000000}">
      <formula1>0</formula1>
    </dataValidation>
    <dataValidation type="list" allowBlank="1" sqref="L47" xr:uid="{00000000-0002-0000-0000-00000F000000}">
      <formula1>lstBind2_2</formula1>
    </dataValidation>
    <dataValidation type="list" allowBlank="1" sqref="M47" xr:uid="{00000000-0002-0000-0000-000010000000}">
      <formula1>lstPos2_2</formula1>
    </dataValidation>
    <dataValidation type="list" allowBlank="1" sqref="P47" xr:uid="{00000000-0002-0000-0000-000011000000}">
      <formula1>lstBind3_2</formula1>
    </dataValidation>
    <dataValidation type="list" allowBlank="1" sqref="Q47" xr:uid="{00000000-0002-0000-0000-000012000000}">
      <formula1>lstPos3_2</formula1>
    </dataValidation>
    <dataValidation type="list" allowBlank="1" sqref="L48" xr:uid="{00000000-0002-0000-0000-00001C000000}">
      <formula1>lstBind2_3</formula1>
    </dataValidation>
    <dataValidation type="list" allowBlank="1" sqref="M48" xr:uid="{00000000-0002-0000-0000-00001D000000}">
      <formula1>lstPos2_3</formula1>
    </dataValidation>
    <dataValidation type="list" allowBlank="1" sqref="P48" xr:uid="{00000000-0002-0000-0000-00001E000000}">
      <formula1>lstBind3_3</formula1>
    </dataValidation>
    <dataValidation type="list" allowBlank="1" sqref="Q48" xr:uid="{00000000-0002-0000-0000-00001F000000}">
      <formula1>lstPos3_3</formula1>
    </dataValidation>
    <dataValidation type="list" allowBlank="1" sqref="L49" xr:uid="{00000000-0002-0000-0000-000029000000}">
      <formula1>lstBind2_4</formula1>
    </dataValidation>
    <dataValidation type="list" allowBlank="1" sqref="M49" xr:uid="{00000000-0002-0000-0000-00002A000000}">
      <formula1>lstPos2_4</formula1>
    </dataValidation>
    <dataValidation type="list" allowBlank="1" sqref="P49" xr:uid="{00000000-0002-0000-0000-00002B000000}">
      <formula1>lstBind3_4</formula1>
    </dataValidation>
    <dataValidation type="list" allowBlank="1" sqref="Q49" xr:uid="{00000000-0002-0000-0000-00002C000000}">
      <formula1>lstPos3_4</formula1>
    </dataValidation>
    <dataValidation type="list" allowBlank="1" sqref="L50" xr:uid="{00000000-0002-0000-0000-000036000000}">
      <formula1>lstBind2_5</formula1>
    </dataValidation>
    <dataValidation type="list" allowBlank="1" sqref="M50" xr:uid="{00000000-0002-0000-0000-000037000000}">
      <formula1>lstPos2_5</formula1>
    </dataValidation>
    <dataValidation type="list" allowBlank="1" sqref="P50" xr:uid="{00000000-0002-0000-0000-000038000000}">
      <formula1>lstBind3_5</formula1>
    </dataValidation>
    <dataValidation type="list" allowBlank="1" sqref="Q50" xr:uid="{00000000-0002-0000-0000-000039000000}">
      <formula1>lstPos3_5</formula1>
    </dataValidation>
    <dataValidation type="list" allowBlank="1" sqref="L51" xr:uid="{00000000-0002-0000-0000-000043000000}">
      <formula1>lstBind2_6</formula1>
    </dataValidation>
    <dataValidation type="list" allowBlank="1" sqref="M51" xr:uid="{00000000-0002-0000-0000-000044000000}">
      <formula1>lstPos2_6</formula1>
    </dataValidation>
    <dataValidation type="list" allowBlank="1" sqref="P51" xr:uid="{00000000-0002-0000-0000-000045000000}">
      <formula1>lstBind3_6</formula1>
    </dataValidation>
    <dataValidation type="list" allowBlank="1" sqref="Q51" xr:uid="{00000000-0002-0000-0000-000046000000}">
      <formula1>lstPos3_6</formula1>
    </dataValidation>
    <dataValidation type="list" allowBlank="1" sqref="L52" xr:uid="{00000000-0002-0000-0000-000050000000}">
      <formula1>lstBind2_7</formula1>
    </dataValidation>
    <dataValidation type="list" allowBlank="1" sqref="M52" xr:uid="{00000000-0002-0000-0000-000051000000}">
      <formula1>lstPos2_7</formula1>
    </dataValidation>
    <dataValidation type="list" allowBlank="1" sqref="P52" xr:uid="{00000000-0002-0000-0000-000052000000}">
      <formula1>lstBind3_7</formula1>
    </dataValidation>
    <dataValidation type="list" allowBlank="1" sqref="Q52" xr:uid="{00000000-0002-0000-0000-000053000000}">
      <formula1>lstPos3_7</formula1>
    </dataValidation>
    <dataValidation type="list" allowBlank="1" sqref="L53" xr:uid="{00000000-0002-0000-0000-00005D000000}">
      <formula1>lstBind2_8</formula1>
    </dataValidation>
    <dataValidation type="list" allowBlank="1" sqref="M53" xr:uid="{00000000-0002-0000-0000-00005E000000}">
      <formula1>lstPos2_8</formula1>
    </dataValidation>
    <dataValidation type="list" allowBlank="1" sqref="P53" xr:uid="{00000000-0002-0000-0000-00005F000000}">
      <formula1>lstBind3_8</formula1>
    </dataValidation>
    <dataValidation type="list" allowBlank="1" sqref="Q53" xr:uid="{00000000-0002-0000-0000-000060000000}">
      <formula1>lstPos3_8</formula1>
    </dataValidation>
    <dataValidation type="decimal" operator="greaterThan" sqref="J62 J11:J14" xr:uid="{00000000-0002-0000-0000-00006A000000}">
      <formula1>0</formula1>
    </dataValidation>
    <dataValidation type="decimal" operator="greaterThanOrEqual" allowBlank="1" sqref="J33 K33 M33 N33 J34 K34 M34 N34 J35 K35 M35 N35 J36 K36 M36 N36 J37 K37 M37 N37 J38 K38 M38 N38 J39 K39 M39 N39 J40 K40 M40 N40 J46 K46 J47 K47 J48 K48 J49 K49 J50 K50 J51 K51 J52 K52 J53 K53 N46 O46 N47 O47 N48 O48 N49 O49 N50 O50 N51 O51 N52 O52 N53" xr:uid="{9F91013A-3EFE-413D-84D0-329553189988}">
      <formula1>0</formula1>
    </dataValidation>
    <dataValidation type="whole" operator="greaterThanOrEqual" allowBlank="1" sqref="L33 L34 L35 L36 L37 L38 L39" xr:uid="{7ECC0357-5231-4C24-BF82-473769ECCFFF}">
      <formula1>0</formula1>
    </dataValidation>
  </dataValidations>
  <hyperlinks>
    <hyperlink ref="L4" location="'Config'!A9" display="Подробнее" xr:uid="{C4F1DBE0-623E-4B91-AD6F-158AE47DCA95}"/>
    <hyperlink ref="R28" location="'Config'!A12" display="Подробнее" xr:uid="{97277AB8-82D1-4FBB-AC5F-DA5706B51803}"/>
    <hyperlink ref="L55" location="'Config'!A9" display="Подробнее" xr:uid="{AFC3020C-E8D1-4990-B506-0F8C3B23003A}"/>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9"/>
  <sheetViews>
    <sheetView showGridLines="0" workbookViewId="0"/>
  </sheetViews>
  <sheetFormatPr defaultRowHeight="14.25"/>
  <sheetData>
    <row r="1" spans="1:36">
      <c r="A1" s="1" t="s">
        <v>150</v>
      </c>
      <c r="B1" s="1" t="s">
        <v>151</v>
      </c>
      <c r="C1" s="1" t="s">
        <v>152</v>
      </c>
      <c r="D1" s="1" t="s">
        <v>153</v>
      </c>
      <c r="E1" s="1" t="s">
        <v>154</v>
      </c>
      <c r="F1" s="1" t="s">
        <v>155</v>
      </c>
      <c r="G1" s="1" t="s">
        <v>156</v>
      </c>
      <c r="H1" s="1" t="s">
        <v>157</v>
      </c>
      <c r="I1" s="1" t="s">
        <v>158</v>
      </c>
      <c r="J1" s="1" t="s">
        <v>159</v>
      </c>
      <c r="K1" s="1" t="s">
        <v>160</v>
      </c>
      <c r="L1" s="1" t="s">
        <v>161</v>
      </c>
      <c r="M1" s="1" t="s">
        <v>162</v>
      </c>
      <c r="N1" s="1" t="s">
        <v>163</v>
      </c>
      <c r="O1" s="1" t="s">
        <v>164</v>
      </c>
      <c r="P1" s="1" t="s">
        <v>165</v>
      </c>
      <c r="Q1" s="1" t="s">
        <v>166</v>
      </c>
      <c r="R1" s="1" t="s">
        <v>167</v>
      </c>
      <c r="S1" s="1" t="s">
        <v>168</v>
      </c>
      <c r="T1" s="1" t="s">
        <v>169</v>
      </c>
      <c r="U1" s="1" t="s">
        <v>170</v>
      </c>
      <c r="V1" s="1" t="s">
        <v>171</v>
      </c>
      <c r="W1" s="1" t="s">
        <v>172</v>
      </c>
      <c r="X1" s="1" t="s">
        <v>173</v>
      </c>
      <c r="Y1" s="1" t="s">
        <v>174</v>
      </c>
      <c r="Z1" s="1" t="s">
        <v>175</v>
      </c>
      <c r="AA1" s="1" t="s">
        <v>176</v>
      </c>
      <c r="AB1" s="1" t="s">
        <v>177</v>
      </c>
      <c r="AC1" s="1" t="s">
        <v>178</v>
      </c>
      <c r="AD1" s="1" t="s">
        <v>179</v>
      </c>
      <c r="AE1" s="1" t="s">
        <v>180</v>
      </c>
      <c r="AF1" s="1" t="s">
        <v>181</v>
      </c>
      <c r="AG1" s="1" t="s">
        <v>182</v>
      </c>
      <c r="AH1" s="1" t="s">
        <v>183</v>
      </c>
      <c r="AI1" s="1" t="s">
        <v>184</v>
      </c>
      <c r="AJ1" s="1" t="s">
        <v>185</v>
      </c>
    </row>
    <row r="2" spans="1:36">
      <c r="A2" s="1" t="str">
        <f>IF(selGeometryType="LSection",IFERROR(INDEX(rngLSectionEdgeKeys,1)&amp;"",""),IF(selGeometryType="Circle",IFERROR(INDEX(rngCircleEdgeKeys,1)&amp;"",""),""))</f>
        <v>R1.Top</v>
      </c>
      <c r="B2" s="1" t="str">
        <f>IF(selGeometryType="LSection",IFERROR(INDEX(rngLSectionEdgeNames,1)&amp;"",""),IF(selGeometryType="Circle",IFERROR(INDEX(rngCircleEdgeNames,1)&amp;"",""),""))</f>
        <v>R1: сверху</v>
      </c>
      <c r="C2" s="1" t="s">
        <v>8</v>
      </c>
      <c r="D2" s="1" t="s">
        <v>17</v>
      </c>
      <c r="E2" s="1" t="s">
        <v>129</v>
      </c>
      <c r="F2" s="1" t="s">
        <v>130</v>
      </c>
      <c r="G2" s="1" t="s">
        <v>129</v>
      </c>
      <c r="H2" s="1" t="s">
        <v>130</v>
      </c>
      <c r="I2" s="1" t="s">
        <v>129</v>
      </c>
      <c r="J2" s="1" t="s">
        <v>130</v>
      </c>
      <c r="K2" s="1" t="s">
        <v>129</v>
      </c>
      <c r="L2" s="1" t="s">
        <v>130</v>
      </c>
      <c r="M2" s="1" t="s">
        <v>129</v>
      </c>
      <c r="N2" s="1" t="s">
        <v>130</v>
      </c>
      <c r="O2" s="1" t="s">
        <v>129</v>
      </c>
      <c r="P2" s="1" t="s">
        <v>130</v>
      </c>
      <c r="Q2" s="1" t="s">
        <v>129</v>
      </c>
      <c r="R2" s="1" t="s">
        <v>130</v>
      </c>
      <c r="S2" s="1" t="s">
        <v>129</v>
      </c>
      <c r="T2" s="1" t="s">
        <v>130</v>
      </c>
      <c r="U2" s="1" t="s">
        <v>129</v>
      </c>
      <c r="V2" s="1" t="s">
        <v>130</v>
      </c>
      <c r="W2" s="1" t="s">
        <v>129</v>
      </c>
      <c r="X2" s="1" t="s">
        <v>130</v>
      </c>
      <c r="Y2" s="1" t="s">
        <v>129</v>
      </c>
      <c r="Z2" s="1" t="s">
        <v>130</v>
      </c>
      <c r="AA2" s="1" t="s">
        <v>129</v>
      </c>
      <c r="AB2" s="1" t="s">
        <v>130</v>
      </c>
      <c r="AC2" s="1" t="s">
        <v>129</v>
      </c>
      <c r="AD2" s="1" t="s">
        <v>130</v>
      </c>
      <c r="AE2" s="1" t="s">
        <v>129</v>
      </c>
      <c r="AF2" s="1" t="s">
        <v>130</v>
      </c>
      <c r="AG2" s="1" t="s">
        <v>129</v>
      </c>
      <c r="AH2" s="1" t="s">
        <v>130</v>
      </c>
      <c r="AI2" s="1" t="s">
        <v>129</v>
      </c>
      <c r="AJ2" s="1" t="s">
        <v>130</v>
      </c>
    </row>
    <row r="3" spans="1:36">
      <c r="A3" s="1" t="str">
        <f>IF(selGeometryType="LSection",IFERROR(INDEX(rngLSectionEdgeKeys,2)&amp;"",""),IF(selGeometryType="Circle",IFERROR(INDEX(rngCircleEdgeKeys,2)&amp;"",""),""))</f>
        <v>R1.Bottom</v>
      </c>
      <c r="B3" s="1" t="str">
        <f>IF(selGeometryType="LSection",IFERROR(INDEX(rngLSectionEdgeNames,2)&amp;"",""),IF(selGeometryType="Circle",IFERROR(INDEX(rngCircleEdgeNames,2)&amp;"",""),""))</f>
        <v>R1: снизу</v>
      </c>
      <c r="C3" s="1" t="s">
        <v>186</v>
      </c>
      <c r="D3" s="1" t="s">
        <v>142</v>
      </c>
      <c r="E3" s="1" t="s">
        <v>131</v>
      </c>
      <c r="F3" s="1" t="s">
        <v>132</v>
      </c>
      <c r="G3" s="1" t="s">
        <v>131</v>
      </c>
      <c r="H3" s="1" t="s">
        <v>132</v>
      </c>
      <c r="I3" s="1" t="s">
        <v>131</v>
      </c>
      <c r="J3" s="1" t="s">
        <v>132</v>
      </c>
      <c r="K3" s="1" t="s">
        <v>131</v>
      </c>
      <c r="L3" s="1" t="s">
        <v>132</v>
      </c>
      <c r="M3" s="1" t="s">
        <v>131</v>
      </c>
      <c r="N3" s="1" t="s">
        <v>132</v>
      </c>
      <c r="O3" s="1" t="s">
        <v>131</v>
      </c>
      <c r="P3" s="1" t="s">
        <v>132</v>
      </c>
      <c r="Q3" s="1" t="s">
        <v>131</v>
      </c>
      <c r="R3" s="1" t="s">
        <v>132</v>
      </c>
      <c r="S3" s="1" t="s">
        <v>131</v>
      </c>
      <c r="T3" s="1" t="s">
        <v>132</v>
      </c>
      <c r="U3" s="1" t="s">
        <v>131</v>
      </c>
      <c r="V3" s="1" t="s">
        <v>132</v>
      </c>
      <c r="W3" s="1" t="s">
        <v>131</v>
      </c>
      <c r="X3" s="1" t="s">
        <v>132</v>
      </c>
      <c r="Y3" s="1" t="s">
        <v>131</v>
      </c>
      <c r="Z3" s="1" t="s">
        <v>132</v>
      </c>
      <c r="AA3" s="1" t="s">
        <v>131</v>
      </c>
      <c r="AB3" s="1" t="s">
        <v>132</v>
      </c>
      <c r="AC3" s="1" t="s">
        <v>131</v>
      </c>
      <c r="AD3" s="1" t="s">
        <v>132</v>
      </c>
      <c r="AE3" s="1" t="s">
        <v>131</v>
      </c>
      <c r="AF3" s="1" t="s">
        <v>132</v>
      </c>
      <c r="AG3" s="1" t="s">
        <v>131</v>
      </c>
      <c r="AH3" s="1" t="s">
        <v>132</v>
      </c>
      <c r="AI3" s="1" t="s">
        <v>131</v>
      </c>
      <c r="AJ3" s="1" t="s">
        <v>132</v>
      </c>
    </row>
    <row r="4" spans="1:36">
      <c r="A4" s="1" t="str">
        <f>IF(selGeometryType="LSection",IFERROR(INDEX(rngLSectionEdgeKeys,3)&amp;"",""),IF(selGeometryType="Circle",IFERROR(INDEX(rngCircleEdgeKeys,3)&amp;"",""),""))</f>
        <v>R1.Left</v>
      </c>
      <c r="B4" s="1" t="str">
        <f>IF(selGeometryType="LSection",IFERROR(INDEX(rngLSectionEdgeNames,3)&amp;"",""),IF(selGeometryType="Circle",IFERROR(INDEX(rngCircleEdgeNames,3)&amp;"",""),""))</f>
        <v>R1: слева</v>
      </c>
      <c r="C4" s="1" t="s">
        <v>9</v>
      </c>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row>
    <row r="5" spans="1:36">
      <c r="A5" s="1" t="str">
        <f>IF(selGeometryType="LSection",IFERROR(INDEX(rngLSectionEdgeKeys,4)&amp;"",""),IF(selGeometryType="Circle",IFERROR(INDEX(rngCircleEdgeKeys,4)&amp;"",""),""))</f>
        <v>R1.Right</v>
      </c>
      <c r="B5" s="1" t="str">
        <f>IF(selGeometryType="LSection",IFERROR(INDEX(rngLSectionEdgeNames,4)&amp;"",""),IF(selGeometryType="Circle",IFERROR(INDEX(rngCircleEdgeNames,4)&amp;"",""),""))</f>
        <v>R1: справа</v>
      </c>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row>
    <row r="6" spans="1:36">
      <c r="A6" s="1" t="str">
        <f>IF(selGeometryType="LSection",IFERROR(INDEX(rngLSectionEdgeKeys,5)&amp;"",""),IF(selGeometryType="Circle",IFERROR(INDEX(rngCircleEdgeKeys,5)&amp;"",""),""))</f>
        <v>R2.Top</v>
      </c>
      <c r="B6" s="1" t="str">
        <f>IF(selGeometryType="LSection",IFERROR(INDEX(rngLSectionEdgeNames,5)&amp;"",""),IF(selGeometryType="Circle",IFERROR(INDEX(rngCircleEdgeNames,5)&amp;"",""),""))</f>
        <v>R2: сверху</v>
      </c>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row>
    <row r="7" spans="1:36">
      <c r="A7" s="1" t="str">
        <f>IF(selGeometryType="LSection",IFERROR(INDEX(rngLSectionEdgeKeys,6)&amp;"",""),IF(selGeometryType="Circle",IFERROR(INDEX(rngCircleEdgeKeys,6)&amp;"",""),""))</f>
        <v>R2.Bottom</v>
      </c>
      <c r="B7" s="1" t="str">
        <f>IF(selGeometryType="LSection",IFERROR(INDEX(rngLSectionEdgeNames,6)&amp;"",""),IF(selGeometryType="Circle",IFERROR(INDEX(rngCircleEdgeNames,6)&amp;"",""),""))</f>
        <v>R2: снизу</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row>
    <row r="8" spans="1:36">
      <c r="A8" s="1" t="str">
        <f>IF(selGeometryType="LSection",IFERROR(INDEX(rngLSectionEdgeKeys,7)&amp;"",""),IF(selGeometryType="Circle",IFERROR(INDEX(rngCircleEdgeKeys,7)&amp;"",""),""))</f>
        <v>R2.Left</v>
      </c>
      <c r="B8" s="1" t="str">
        <f>IF(selGeometryType="LSection",IFERROR(INDEX(rngLSectionEdgeNames,7)&amp;"",""),IF(selGeometryType="Circle",IFERROR(INDEX(rngCircleEdgeNames,7)&amp;"",""),""))</f>
        <v>R2: слева</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row>
    <row r="9" spans="1:36">
      <c r="A9" s="1" t="str">
        <f>IF(selGeometryType="LSection",IFERROR(INDEX(rngLSectionEdgeKeys,8)&amp;"",""),IF(selGeometryType="Circle",IFERROR(INDEX(rngCircleEdgeKeys,8)&amp;"",""),""))</f>
        <v>R2.Right</v>
      </c>
      <c r="B9" s="1" t="str">
        <f>IF(selGeometryType="LSection",IFERROR(INDEX(rngLSectionEdgeNames,8)&amp;"",""),IF(selGeometryType="Circle",IFERROR(INDEX(rngCircleEdgeNames,8)&amp;"",""),""))</f>
        <v>R2: справа</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vt:i4>
      </vt:variant>
      <vt:variant>
        <vt:lpstr>Именованные диапазоны</vt:lpstr>
      </vt:variant>
      <vt:variant>
        <vt:i4>46</vt:i4>
      </vt:variant>
    </vt:vector>
  </HeadingPairs>
  <TitlesOfParts>
    <vt:vector size="48" baseType="lpstr">
      <vt:lpstr>Config</vt:lpstr>
      <vt:lpstr>_Lists</vt:lpstr>
      <vt:lpstr>InputLengthUnit</vt:lpstr>
      <vt:lpstr>lstBind2_1</vt:lpstr>
      <vt:lpstr>lstBind2_2</vt:lpstr>
      <vt:lpstr>lstBind2_3</vt:lpstr>
      <vt:lpstr>lstBind2_4</vt:lpstr>
      <vt:lpstr>lstBind2_5</vt:lpstr>
      <vt:lpstr>lstBind2_6</vt:lpstr>
      <vt:lpstr>lstBind2_7</vt:lpstr>
      <vt:lpstr>lstBind2_8</vt:lpstr>
      <vt:lpstr>lstBind3_1</vt:lpstr>
      <vt:lpstr>lstBind3_2</vt:lpstr>
      <vt:lpstr>lstBind3_3</vt:lpstr>
      <vt:lpstr>lstBind3_4</vt:lpstr>
      <vt:lpstr>lstBind3_5</vt:lpstr>
      <vt:lpstr>lstBind3_6</vt:lpstr>
      <vt:lpstr>lstBind3_7</vt:lpstr>
      <vt:lpstr>lstBind3_8</vt:lpstr>
      <vt:lpstr>lstGeometryType</vt:lpstr>
      <vt:lpstr>lstInputLength</vt:lpstr>
      <vt:lpstr>lstPos2_1</vt:lpstr>
      <vt:lpstr>lstPos2_2</vt:lpstr>
      <vt:lpstr>lstPos2_3</vt:lpstr>
      <vt:lpstr>lstPos2_4</vt:lpstr>
      <vt:lpstr>lstPos2_5</vt:lpstr>
      <vt:lpstr>lstPos2_6</vt:lpstr>
      <vt:lpstr>lstPos2_7</vt:lpstr>
      <vt:lpstr>lstPos2_8</vt:lpstr>
      <vt:lpstr>lstPos3_1</vt:lpstr>
      <vt:lpstr>lstPos3_2</vt:lpstr>
      <vt:lpstr>lstPos3_3</vt:lpstr>
      <vt:lpstr>lstPos3_4</vt:lpstr>
      <vt:lpstr>lstPos3_5</vt:lpstr>
      <vt:lpstr>lstPos3_6</vt:lpstr>
      <vt:lpstr>lstPos3_7</vt:lpstr>
      <vt:lpstr>lstPos3_8</vt:lpstr>
      <vt:lpstr>rngCircleEdgeKeys</vt:lpstr>
      <vt:lpstr>rngCircleEdgeNames</vt:lpstr>
      <vt:lpstr>rngCircleGeometry</vt:lpstr>
      <vt:lpstr>rngCurrentSideKeys</vt:lpstr>
      <vt:lpstr>rngCurrentSideNames</vt:lpstr>
      <vt:lpstr>rngLSectionEdgeKeys</vt:lpstr>
      <vt:lpstr>rngLSectionEdgeNames</vt:lpstr>
      <vt:lpstr>rngLSectionGeometry</vt:lpstr>
      <vt:lpstr>rngRebarInput</vt:lpstr>
      <vt:lpstr>rngUnitSettings</vt:lpstr>
      <vt:lpstr>selGeometryType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Авидзба Ахра Даурович</cp:lastModifiedBy>
  <dcterms:modified xsi:type="dcterms:W3CDTF">2026-10-18T11:50:31Z</dcterms:modified>
</cp:coreProperties>
</file>