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vidzba\Desktop\программы\В_РАБОТЕ!\RC_Section_NDM\outputs\01a12ece-8192-7141-89b3-f83f1176184c\"/>
    </mc:Choice>
  </mc:AlternateContent>
  <xr:revisionPtr revIDLastSave="0" documentId="13_ncr:1_{DA8E7E74-4109-4D3B-8663-0A4E0F2D795E}" xr6:coauthVersionLast="36" xr6:coauthVersionMax="36" xr10:uidLastSave="{00000000-0000-0000-0000-000000000000}"/>
  <bookViews>
    <workbookView xWindow="0" yWindow="0" windowWidth="38400" windowHeight="19515" xr2:uid="{00000000-000D-0000-FFFF-FFFF00000000}"/>
  </bookViews>
  <sheets>
    <sheet name="Config" sheetId="1" r:id="rId1"/>
    <sheet name="_Lists" sheetId="2" state="hidden" r:id="rId2"/>
  </sheets>
  <definedNames>
    <definedName name="InputLengthUnit">Config!$B$5</definedName>
    <definedName name="lstBind2_1">_Lists!$C$2:$C$3</definedName>
    <definedName name="lstBind2_2">_Lists!$H$2:$H$3</definedName>
    <definedName name="lstBind2_3">_Lists!$M$2:$M$3</definedName>
    <definedName name="lstBind2_4">_Lists!$R$2:$R$3</definedName>
    <definedName name="lstBind2_5">_Lists!$W$2:$W$3</definedName>
    <definedName name="lstBind2_6">_Lists!$AB$2:$AB$3</definedName>
    <definedName name="lstBind3_1">_Lists!$E$2:$E$3</definedName>
    <definedName name="lstBind3_2">_Lists!$J$2:$J$3</definedName>
    <definedName name="lstBind3_3">_Lists!$O$2:$O$3</definedName>
    <definedName name="lstBind3_4">_Lists!$T$2:$T$3</definedName>
    <definedName name="lstBind3_5">_Lists!$Y$2:$Y$3</definedName>
    <definedName name="lstBind3_6">_Lists!$AD$2:$AD$3</definedName>
    <definedName name="lstInputLength">_Lists!$A$2:$A$4</definedName>
    <definedName name="lstPos2_1">_Lists!$D$2:$D$3</definedName>
    <definedName name="lstPos2_2">_Lists!$I$2:$I$3</definedName>
    <definedName name="lstPos2_3">_Lists!$N$2:$N$3</definedName>
    <definedName name="lstPos2_4">_Lists!$S$2:$S$3</definedName>
    <definedName name="lstPos2_5">_Lists!$X$2:$X$3</definedName>
    <definedName name="lstPos2_6">_Lists!$AC$2:$AC$3</definedName>
    <definedName name="lstPos3_1">_Lists!$F$2:$F$3</definedName>
    <definedName name="lstPos3_2">_Lists!$K$2:$K$3</definedName>
    <definedName name="lstPos3_3">_Lists!$P$2:$P$3</definedName>
    <definedName name="lstPos3_4">_Lists!$U$2:$U$3</definedName>
    <definedName name="lstPos3_5">_Lists!$Z$2:$Z$3</definedName>
    <definedName name="lstPos3_6">_Lists!$AE$2:$AE$3</definedName>
    <definedName name="lstSide1">_Lists!$B$2:$B$7</definedName>
    <definedName name="lstSide2">_Lists!$G$2:$G$7</definedName>
    <definedName name="lstSide3">_Lists!$L$2:$L$7</definedName>
    <definedName name="lstSide4">_Lists!$Q$2:$Q$7</definedName>
    <definedName name="lstSide5">_Lists!$V$2:$V$7</definedName>
    <definedName name="lstSide6">_Lists!$AA$2:$AA$7</definedName>
    <definedName name="rngCurrentSideKeys">Config!$H$15:$H$20</definedName>
    <definedName name="rngCurrentSideNames">Config!$I$15:$I$20</definedName>
    <definedName name="rngLSectionGeometry">Config!$H$5:$L$20</definedName>
    <definedName name="rngRebarInput">Config!$H$23:$R$43</definedName>
    <definedName name="rngUnitSettings">Config!$A$4:$D$5</definedName>
    <definedName name="selGeometryType">Config!$J$8</definedName>
  </definedNames>
  <calcPr calcId="191029"/>
</workbook>
</file>

<file path=xl/calcChain.xml><?xml version="1.0" encoding="utf-8"?>
<calcChain xmlns="http://schemas.openxmlformats.org/spreadsheetml/2006/main">
  <c r="AA7" i="2" l="1"/>
  <c r="V7" i="2"/>
  <c r="Q7" i="2"/>
  <c r="L7" i="2"/>
  <c r="G7" i="2"/>
  <c r="B7" i="2"/>
  <c r="AA6" i="2"/>
  <c r="V6" i="2"/>
  <c r="Q6" i="2"/>
  <c r="L6" i="2"/>
  <c r="G6" i="2"/>
  <c r="B6" i="2"/>
  <c r="AA5" i="2"/>
  <c r="V5" i="2"/>
  <c r="Q5" i="2"/>
  <c r="L5" i="2"/>
  <c r="G5" i="2"/>
  <c r="B5" i="2"/>
  <c r="AA4" i="2"/>
  <c r="V4" i="2"/>
  <c r="Q4" i="2"/>
  <c r="L4" i="2"/>
  <c r="G4" i="2"/>
  <c r="B4" i="2"/>
  <c r="AA3" i="2"/>
  <c r="V3" i="2"/>
  <c r="Q3" i="2"/>
  <c r="L3" i="2"/>
  <c r="G3" i="2"/>
  <c r="B3" i="2"/>
  <c r="AA2" i="2"/>
  <c r="V2" i="2"/>
  <c r="Q2" i="2"/>
  <c r="L2" i="2"/>
  <c r="G2" i="2"/>
  <c r="B2" i="2"/>
  <c r="I43" i="1"/>
  <c r="I42" i="1"/>
  <c r="I41" i="1"/>
  <c r="I40" i="1"/>
  <c r="I39" i="1"/>
  <c r="I38" i="1"/>
  <c r="O37" i="1"/>
  <c r="N37" i="1"/>
  <c r="K37" i="1"/>
  <c r="J37" i="1"/>
  <c r="H32" i="1"/>
  <c r="H43" i="1" s="1"/>
  <c r="H31" i="1"/>
  <c r="H42" i="1" s="1"/>
  <c r="H30" i="1"/>
  <c r="H41" i="1" s="1"/>
  <c r="H29" i="1"/>
  <c r="H40" i="1" s="1"/>
  <c r="H28" i="1"/>
  <c r="H39" i="1" s="1"/>
  <c r="H27" i="1"/>
  <c r="H38" i="1" s="1"/>
  <c r="N26" i="1"/>
  <c r="M26" i="1"/>
  <c r="K26" i="1"/>
  <c r="J26" i="1"/>
  <c r="K20" i="1"/>
  <c r="J20" i="1"/>
  <c r="K19" i="1"/>
  <c r="K18" i="1"/>
  <c r="K17" i="1"/>
  <c r="J17" i="1"/>
  <c r="K16" i="1"/>
  <c r="K15" i="1"/>
  <c r="K10" i="1"/>
  <c r="K9" i="1"/>
</calcChain>
</file>

<file path=xl/sharedStrings.xml><?xml version="1.0" encoding="utf-8"?>
<sst xmlns="http://schemas.openxmlformats.org/spreadsheetml/2006/main" count="250" uniqueCount="147">
  <si>
    <t>Единицы измерения</t>
  </si>
  <si>
    <t>Параметр</t>
  </si>
  <si>
    <t>INPUT</t>
  </si>
  <si>
    <t>INTERNAL</t>
  </si>
  <si>
    <t>OUTPUT</t>
  </si>
  <si>
    <t>Г-образное сечение</t>
  </si>
  <si>
    <t>Подробнее</t>
  </si>
  <si>
    <t>Length</t>
  </si>
  <si>
    <t>mm</t>
  </si>
  <si>
    <t>m</t>
  </si>
  <si>
    <t>General</t>
  </si>
  <si>
    <t>1. Общие настройки геометрии</t>
  </si>
  <si>
    <t>Ключ</t>
  </si>
  <si>
    <t>Значение</t>
  </si>
  <si>
    <t>Ед.</t>
  </si>
  <si>
    <t>Комментарий</t>
  </si>
  <si>
    <t>key</t>
  </si>
  <si>
    <t>name</t>
  </si>
  <si>
    <t>val</t>
  </si>
  <si>
    <t>unit</t>
  </si>
  <si>
    <t>note</t>
  </si>
  <si>
    <t>Type</t>
  </si>
  <si>
    <t>Тип сечения</t>
  </si>
  <si>
    <t>LSection</t>
  </si>
  <si>
    <t>—</t>
  </si>
  <si>
    <t>Постоянный код типа для ключей армирования.</t>
  </si>
  <si>
    <t>Параметры Г-сечения</t>
  </si>
  <si>
    <t>OffsetX</t>
  </si>
  <si>
    <t>Смещение X</t>
  </si>
  <si>
    <t>Смещение всего сечения по X; плюс — вправо.</t>
  </si>
  <si>
    <t>Четыре размера задаются вручную. Две длины вычисляются формулами.</t>
  </si>
  <si>
    <t>OffsetY</t>
  </si>
  <si>
    <t>Смещение Y</t>
  </si>
  <si>
    <t>Смещение всего сечения по Y; плюс — вверх.</t>
  </si>
  <si>
    <t>Как задаётся армирование</t>
  </si>
  <si>
    <t>Geometry</t>
  </si>
  <si>
    <t>2. Основная геометрия сечения</t>
  </si>
  <si>
    <t>Выберите сторону из списка и задайте её армирование.</t>
  </si>
  <si>
    <t>Ключ стороны</t>
  </si>
  <si>
    <t>Сторона</t>
  </si>
  <si>
    <t>Длина</t>
  </si>
  <si>
    <t>Ключ формируется из типа сечения и ключа стороны геометрии.</t>
  </si>
  <si>
    <t>Переименуйте ключ стороны — связанные ключи обновятся формулами.</t>
  </si>
  <si>
    <t>Top</t>
  </si>
  <si>
    <t>Верх</t>
  </si>
  <si>
    <t>Ширина верха B1.</t>
  </si>
  <si>
    <t>Дополнительные ряды относятся к той же стороне основного ряда.</t>
  </si>
  <si>
    <t>InnerRight</t>
  </si>
  <si>
    <t>Внутр. вертикаль</t>
  </si>
  <si>
    <t>Высота стенки над полкой H1.</t>
  </si>
  <si>
    <t>Пустая сторона оставляет ключ пустым.</t>
  </si>
  <si>
    <t>Shoulder</t>
  </si>
  <si>
    <t>Верх полки</t>
  </si>
  <si>
    <t>Разность ширины основания и верха: B2 − B1.</t>
  </si>
  <si>
    <t>Все ключи вычисляются формулами Excel. VBA в этой книге нет.</t>
  </si>
  <si>
    <t>Right</t>
  </si>
  <si>
    <t>Справа</t>
  </si>
  <si>
    <t>Толщина нижней полки H2.</t>
  </si>
  <si>
    <t>Bottom</t>
  </si>
  <si>
    <t>Низ</t>
  </si>
  <si>
    <t>Ширина основания B2.</t>
  </si>
  <si>
    <t>Left</t>
  </si>
  <si>
    <t>Слева</t>
  </si>
  <si>
    <t>Полная высота: H1 + H2.</t>
  </si>
  <si>
    <t>Общее армирование выбранного сечения</t>
  </si>
  <si>
    <t>Main</t>
  </si>
  <si>
    <t>1. Основное армирование</t>
  </si>
  <si>
    <t>До оси</t>
  </si>
  <si>
    <t>Диаметр</t>
  </si>
  <si>
    <t>Количество</t>
  </si>
  <si>
    <t>Отступ начала</t>
  </si>
  <si>
    <t>Отступ конца</t>
  </si>
  <si>
    <t>side</t>
  </si>
  <si>
    <t>as</t>
  </si>
  <si>
    <t>d</t>
  </si>
  <si>
    <t>n</t>
  </si>
  <si>
    <t>s0</t>
  </si>
  <si>
    <t>s1</t>
  </si>
  <si>
    <t>Units</t>
  </si>
  <si>
    <t>Единицы</t>
  </si>
  <si>
    <t>шт</t>
  </si>
  <si>
    <t>as — от края бетона до осей стержней.</t>
  </si>
  <si>
    <t>d — диаметр основного ряда.</t>
  </si>
  <si>
    <t>n — число стержней на выбранной стороне.</t>
  </si>
  <si>
    <t>s0 и s1 — отступы вдоль линии размещения.</t>
  </si>
  <si>
    <t>0 или пустой диаметр отключает ряд.</t>
  </si>
  <si>
    <t>Ключ вычисляется по выбранной стороне геометрии.</t>
  </si>
  <si>
    <t>Extra</t>
  </si>
  <si>
    <t>2. Дополнительное армирование</t>
  </si>
  <si>
    <t>Диаметр 2</t>
  </si>
  <si>
    <t>Смещение 2</t>
  </si>
  <si>
    <t>Привязка 2</t>
  </si>
  <si>
    <t>Положение 2</t>
  </si>
  <si>
    <t>Диаметр 3</t>
  </si>
  <si>
    <t>Смещение 3</t>
  </si>
  <si>
    <t>Привязка 3</t>
  </si>
  <si>
    <t>Положение 3</t>
  </si>
  <si>
    <t>d2</t>
  </si>
  <si>
    <t>a2</t>
  </si>
  <si>
    <t>bind2</t>
  </si>
  <si>
    <t>pos2</t>
  </si>
  <si>
    <t>d3</t>
  </si>
  <si>
    <t>a3</t>
  </si>
  <si>
    <t>bind3</t>
  </si>
  <si>
    <t>pos3</t>
  </si>
  <si>
    <t>EachBar</t>
  </si>
  <si>
    <t>Stacked</t>
  </si>
  <si>
    <t>EverySecondBar</t>
  </si>
  <si>
    <t>SideBySide</t>
  </si>
  <si>
    <t>Смещения 2 и 3 отсчитываются от основного ряда.</t>
  </si>
  <si>
    <t>0 или пустой диаметр отключает дополнительный ряд.</t>
  </si>
  <si>
    <t>EverySecondBar — у первого, третьего и следующих нечётных стержней.</t>
  </si>
  <si>
    <t>Ключ и сторона связаны с основным армированием.</t>
  </si>
  <si>
    <t>SideBySide — рядом вдоль линии размещения стержней.</t>
  </si>
  <si>
    <t>Stacked — в глубину бетона от основного ряда.</t>
  </si>
  <si>
    <t>lstInputLength</t>
  </si>
  <si>
    <t>lstSide1</t>
  </si>
  <si>
    <t>lstBind2_1</t>
  </si>
  <si>
    <t>lstPos2_1</t>
  </si>
  <si>
    <t>lstBind3_1</t>
  </si>
  <si>
    <t>lstPos3_1</t>
  </si>
  <si>
    <t>lstSide2</t>
  </si>
  <si>
    <t>lstBind2_2</t>
  </si>
  <si>
    <t>lstPos2_2</t>
  </si>
  <si>
    <t>lstBind3_2</t>
  </si>
  <si>
    <t>lstPos3_2</t>
  </si>
  <si>
    <t>lstSide3</t>
  </si>
  <si>
    <t>lstBind2_3</t>
  </si>
  <si>
    <t>lstPos2_3</t>
  </si>
  <si>
    <t>lstBind3_3</t>
  </si>
  <si>
    <t>lstPos3_3</t>
  </si>
  <si>
    <t>lstSide4</t>
  </si>
  <si>
    <t>lstBind2_4</t>
  </si>
  <si>
    <t>lstPos2_4</t>
  </si>
  <si>
    <t>lstBind3_4</t>
  </si>
  <si>
    <t>lstPos3_4</t>
  </si>
  <si>
    <t>lstSide5</t>
  </si>
  <si>
    <t>lstBind2_5</t>
  </si>
  <si>
    <t>lstPos2_5</t>
  </si>
  <si>
    <t>lstBind3_5</t>
  </si>
  <si>
    <t>lstPos3_5</t>
  </si>
  <si>
    <t>lstSide6</t>
  </si>
  <si>
    <t>lstBind2_6</t>
  </si>
  <si>
    <t>lstPos2_6</t>
  </si>
  <si>
    <t>lstBind3_6</t>
  </si>
  <si>
    <t>lstPos3_6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</si>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</sst>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9"/>
      <color rgb="FF000000"/>
      <name val="Arial"/>
    </font>
    <font>
      <b/>
      <sz val="9"/>
      <color rgb="FF000000"/>
      <name val="Arial"/>
    </font>
    <font>
      <i/>
      <sz val="9"/>
      <color rgb="FF666666"/>
      <name val="Arial"/>
    </font>
    <font>
      <sz val="9"/>
      <color rgb="FF666666"/>
      <name val="Arial"/>
    </font>
    <font>
      <sz val="11"/>
      <name val="Carlito"/>
    </font>
    <font>
      <u/>
      <sz val="11"/>
      <color theme="10"/>
      <name val="Carlito"/>
    </font>
    <font>
      <u/>
      <sz val="9"/>
      <color theme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 applyNumberFormat="1" applyFont="1" applyFill="1" applyBorder="1"/>
    <xf numFmtId="0" fontId="1" fillId="0" borderId="0" xfId="1" applyNumberFormat="1" applyFont="1" applyFill="1" applyBorder="1" applyAlignment="1"/>
    <xf numFmtId="0" fontId="1" fillId="2" borderId="0" xfId="1" applyNumberFormat="1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right" vertical="center"/>
    </xf>
    <xf numFmtId="0" fontId="3" fillId="3" borderId="1" xfId="1" applyNumberFormat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right" vertical="center"/>
    </xf>
    <xf numFmtId="0" fontId="1" fillId="2" borderId="1" xfId="1" applyNumberFormat="1" applyFont="1" applyFill="1" applyBorder="1" applyAlignment="1">
      <alignment horizontal="right"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right" vertical="center"/>
    </xf>
    <xf numFmtId="0" fontId="1" fillId="2" borderId="1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left" vertical="center"/>
    </xf>
    <xf numFmtId="0" fontId="2" fillId="3" borderId="1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left" vertical="center"/>
    </xf>
    <xf numFmtId="0" fontId="1" fillId="2" borderId="0" xfId="1" applyNumberFormat="1" applyFont="1" applyFill="1" applyBorder="1" applyAlignment="1">
      <alignment horizontal="left" vertical="center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showGridLines="0" tabSelected="1" topLeftCell="H1" zoomScale="85" zoomScaleNormal="85" workbookViewId="0"/>
  </sheetViews>
  <sheetFormatPr defaultRowHeight="14.25"/>
  <cols>
    <col min="1" max="6" width="17" customWidth="1"/>
    <col min="7" max="7" width="4" customWidth="1"/>
    <col min="8" max="8" width="32.625" customWidth="1"/>
    <col min="9" max="21" width="17.625" customWidth="1"/>
  </cols>
  <sheetData>
    <row r="1" spans="1:21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/>
      <c r="T1" s="2"/>
      <c r="U1" s="2"/>
    </row>
    <row r="2" spans="1:21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  <c r="U2" s="2"/>
    </row>
    <row r="3" spans="1:21" ht="15" customHeight="1">
      <c r="A3" s="18" t="s">
        <v>0</v>
      </c>
      <c r="B3" s="18"/>
      <c r="C3" s="18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2"/>
      <c r="U3" s="2"/>
    </row>
    <row r="4" spans="1:21" ht="15" customHeight="1">
      <c r="A4" s="6" t="s">
        <v>1</v>
      </c>
      <c r="B4" s="6" t="s">
        <v>2</v>
      </c>
      <c r="C4" s="6" t="s">
        <v>3</v>
      </c>
      <c r="D4" s="6" t="s">
        <v>4</v>
      </c>
      <c r="E4" s="3"/>
      <c r="F4" s="3"/>
      <c r="G4" s="3"/>
      <c r="H4" s="18" t="s">
        <v>5</v>
      </c>
      <c r="I4" s="18"/>
      <c r="J4" s="18"/>
      <c r="K4" s="18"/>
      <c r="L4" s="15" t="s">
        <v>6</v>
      </c>
      <c r="M4" s="3"/>
      <c r="N4" s="3"/>
      <c r="O4" s="3"/>
      <c r="P4" s="3"/>
      <c r="Q4" s="3"/>
      <c r="R4" s="3"/>
      <c r="S4" s="2"/>
      <c r="T4" s="2"/>
      <c r="U4" s="2"/>
    </row>
    <row r="5" spans="1:21" ht="15" customHeight="1">
      <c r="A5" s="4" t="s">
        <v>7</v>
      </c>
      <c r="B5" s="4" t="s">
        <v>8</v>
      </c>
      <c r="C5" s="4" t="s">
        <v>8</v>
      </c>
      <c r="D5" s="4" t="s">
        <v>9</v>
      </c>
      <c r="E5" s="3"/>
      <c r="F5" s="3"/>
      <c r="G5" s="3"/>
      <c r="H5" s="5" t="s">
        <v>10</v>
      </c>
      <c r="I5" s="16" t="s">
        <v>11</v>
      </c>
      <c r="J5" s="17"/>
      <c r="K5" s="17"/>
      <c r="L5" s="17"/>
      <c r="M5" s="3"/>
      <c r="N5" s="3"/>
      <c r="O5" s="3"/>
      <c r="P5" s="3"/>
      <c r="Q5" s="3"/>
      <c r="R5" s="3"/>
      <c r="S5" s="2"/>
      <c r="T5" s="2"/>
      <c r="U5" s="2"/>
    </row>
    <row r="6" spans="1:21" ht="15" customHeight="1">
      <c r="A6" s="3"/>
      <c r="B6" s="3"/>
      <c r="C6" s="3"/>
      <c r="D6" s="3"/>
      <c r="E6" s="3"/>
      <c r="F6" s="3"/>
      <c r="G6" s="3"/>
      <c r="H6" s="6" t="s">
        <v>12</v>
      </c>
      <c r="I6" s="6" t="s">
        <v>1</v>
      </c>
      <c r="J6" s="6" t="s">
        <v>13</v>
      </c>
      <c r="K6" s="6" t="s">
        <v>14</v>
      </c>
      <c r="L6" s="7" t="s">
        <v>15</v>
      </c>
      <c r="M6" s="3"/>
      <c r="N6" s="3"/>
      <c r="O6" s="3"/>
      <c r="P6" s="3"/>
      <c r="Q6" s="3"/>
      <c r="R6" s="3"/>
      <c r="S6" s="2"/>
      <c r="T6" s="2"/>
      <c r="U6" s="2"/>
    </row>
    <row r="7" spans="1:21" ht="15" customHeight="1">
      <c r="A7" s="3"/>
      <c r="B7" s="3"/>
      <c r="C7" s="3"/>
      <c r="D7" s="3"/>
      <c r="E7" s="3"/>
      <c r="F7" s="3"/>
      <c r="G7" s="3"/>
      <c r="H7" s="8" t="s">
        <v>16</v>
      </c>
      <c r="I7" s="8" t="s">
        <v>17</v>
      </c>
      <c r="J7" s="8" t="s">
        <v>18</v>
      </c>
      <c r="K7" s="8" t="s">
        <v>19</v>
      </c>
      <c r="L7" s="9" t="s">
        <v>20</v>
      </c>
      <c r="M7" s="3"/>
      <c r="N7" s="3"/>
      <c r="O7" s="3"/>
      <c r="P7" s="3"/>
      <c r="Q7" s="3"/>
      <c r="R7" s="3"/>
      <c r="S7" s="2"/>
      <c r="T7" s="2"/>
      <c r="U7" s="2"/>
    </row>
    <row r="8" spans="1:21" ht="15" customHeight="1">
      <c r="A8" s="3"/>
      <c r="B8" s="3"/>
      <c r="C8" s="3"/>
      <c r="D8" s="3"/>
      <c r="E8" s="3"/>
      <c r="F8" s="3"/>
      <c r="G8" s="3"/>
      <c r="H8" s="4" t="s">
        <v>21</v>
      </c>
      <c r="I8" s="4" t="s">
        <v>22</v>
      </c>
      <c r="J8" s="4" t="s">
        <v>23</v>
      </c>
      <c r="K8" s="4" t="s">
        <v>24</v>
      </c>
      <c r="L8" s="10" t="s">
        <v>25</v>
      </c>
      <c r="M8" s="3"/>
      <c r="N8" s="3"/>
      <c r="O8" s="3"/>
      <c r="P8" s="3"/>
      <c r="Q8" s="3"/>
      <c r="R8" s="3"/>
      <c r="S8" s="2"/>
      <c r="T8" s="2"/>
      <c r="U8" s="2"/>
    </row>
    <row r="9" spans="1:21" ht="15" customHeight="1">
      <c r="A9" s="18" t="s">
        <v>26</v>
      </c>
      <c r="B9" s="19"/>
      <c r="C9" s="19"/>
      <c r="D9" s="19"/>
      <c r="E9" s="19"/>
      <c r="F9" s="19"/>
      <c r="G9" s="3"/>
      <c r="H9" s="4" t="s">
        <v>27</v>
      </c>
      <c r="I9" s="4" t="s">
        <v>28</v>
      </c>
      <c r="J9" s="13">
        <v>0</v>
      </c>
      <c r="K9" s="4" t="str">
        <f>InputLengthUnit</f>
        <v>mm</v>
      </c>
      <c r="L9" s="10" t="s">
        <v>29</v>
      </c>
      <c r="M9" s="3"/>
      <c r="N9" s="3"/>
      <c r="O9" s="3"/>
      <c r="P9" s="3"/>
      <c r="Q9" s="3"/>
      <c r="R9" s="3"/>
      <c r="S9" s="2"/>
      <c r="T9" s="2"/>
      <c r="U9" s="2"/>
    </row>
    <row r="10" spans="1:21" ht="15" customHeight="1">
      <c r="A10" s="19" t="s">
        <v>30</v>
      </c>
      <c r="B10" s="19"/>
      <c r="C10" s="19"/>
      <c r="D10" s="19"/>
      <c r="E10" s="19"/>
      <c r="F10" s="19"/>
      <c r="G10" s="3"/>
      <c r="H10" s="4" t="s">
        <v>31</v>
      </c>
      <c r="I10" s="4" t="s">
        <v>32</v>
      </c>
      <c r="J10" s="13">
        <v>0</v>
      </c>
      <c r="K10" s="4" t="str">
        <f>InputLengthUnit</f>
        <v>mm</v>
      </c>
      <c r="L10" s="10" t="s">
        <v>33</v>
      </c>
      <c r="M10" s="3"/>
      <c r="N10" s="3"/>
      <c r="O10" s="3"/>
      <c r="P10" s="3"/>
      <c r="Q10" s="3"/>
      <c r="R10" s="3"/>
      <c r="S10" s="2"/>
      <c r="T10" s="2"/>
      <c r="U10" s="2"/>
    </row>
    <row r="11" spans="1:21" ht="15" customHeight="1">
      <c r="A11" s="3"/>
      <c r="B11" s="3"/>
      <c r="C11" s="3"/>
      <c r="D11" s="3"/>
      <c r="E11" s="3"/>
      <c r="F11" s="3"/>
      <c r="G11" s="3"/>
      <c r="H11" s="4"/>
      <c r="I11" s="4"/>
      <c r="J11" s="4"/>
      <c r="K11" s="4"/>
      <c r="L11" s="4"/>
      <c r="M11" s="3"/>
      <c r="N11" s="3"/>
      <c r="O11" s="3"/>
      <c r="P11" s="3"/>
      <c r="Q11" s="3"/>
      <c r="R11" s="3"/>
      <c r="S11" s="2"/>
      <c r="T11" s="2"/>
      <c r="U11" s="2"/>
    </row>
    <row r="12" spans="1:21" ht="15" customHeight="1">
      <c r="A12" s="18" t="s">
        <v>34</v>
      </c>
      <c r="B12" s="19"/>
      <c r="C12" s="19"/>
      <c r="D12" s="19"/>
      <c r="E12" s="19"/>
      <c r="F12" s="19"/>
      <c r="G12" s="3"/>
      <c r="H12" s="5" t="s">
        <v>35</v>
      </c>
      <c r="I12" s="16" t="s">
        <v>36</v>
      </c>
      <c r="J12" s="17"/>
      <c r="K12" s="17"/>
      <c r="L12" s="17"/>
      <c r="M12" s="3"/>
      <c r="N12" s="3"/>
      <c r="O12" s="3"/>
      <c r="P12" s="3"/>
      <c r="Q12" s="3"/>
      <c r="R12" s="3"/>
      <c r="S12" s="2"/>
      <c r="T12" s="2"/>
      <c r="U12" s="2"/>
    </row>
    <row r="13" spans="1:21" ht="15" customHeight="1">
      <c r="A13" s="19" t="s">
        <v>37</v>
      </c>
      <c r="B13" s="19"/>
      <c r="C13" s="19"/>
      <c r="D13" s="19"/>
      <c r="E13" s="19"/>
      <c r="F13" s="19"/>
      <c r="G13" s="3"/>
      <c r="H13" s="6" t="s">
        <v>38</v>
      </c>
      <c r="I13" s="6" t="s">
        <v>39</v>
      </c>
      <c r="J13" s="6" t="s">
        <v>40</v>
      </c>
      <c r="K13" s="6" t="s">
        <v>14</v>
      </c>
      <c r="L13" s="7" t="s">
        <v>15</v>
      </c>
      <c r="M13" s="3"/>
      <c r="N13" s="3"/>
      <c r="O13" s="3"/>
      <c r="P13" s="3"/>
      <c r="Q13" s="3"/>
      <c r="R13" s="3"/>
      <c r="S13" s="2"/>
      <c r="T13" s="2"/>
      <c r="U13" s="2"/>
    </row>
    <row r="14" spans="1:21" ht="15" customHeight="1">
      <c r="A14" s="19" t="s">
        <v>41</v>
      </c>
      <c r="B14" s="19"/>
      <c r="C14" s="19"/>
      <c r="D14" s="19"/>
      <c r="E14" s="19"/>
      <c r="F14" s="19"/>
      <c r="G14" s="3"/>
      <c r="H14" s="8" t="s">
        <v>16</v>
      </c>
      <c r="I14" s="8" t="s">
        <v>17</v>
      </c>
      <c r="J14" s="8" t="s">
        <v>18</v>
      </c>
      <c r="K14" s="8" t="s">
        <v>19</v>
      </c>
      <c r="L14" s="9" t="s">
        <v>20</v>
      </c>
      <c r="M14" s="3"/>
      <c r="N14" s="3"/>
      <c r="O14" s="3"/>
      <c r="P14" s="3"/>
      <c r="Q14" s="3"/>
      <c r="R14" s="3"/>
      <c r="S14" s="2"/>
      <c r="T14" s="2"/>
      <c r="U14" s="2"/>
    </row>
    <row r="15" spans="1:21" ht="15" customHeight="1">
      <c r="A15" s="19" t="s">
        <v>42</v>
      </c>
      <c r="B15" s="19"/>
      <c r="C15" s="19"/>
      <c r="D15" s="19"/>
      <c r="E15" s="19"/>
      <c r="F15" s="19"/>
      <c r="G15" s="3"/>
      <c r="H15" s="4" t="s">
        <v>43</v>
      </c>
      <c r="I15" s="4" t="s">
        <v>44</v>
      </c>
      <c r="J15" s="13">
        <v>250</v>
      </c>
      <c r="K15" s="4" t="str">
        <f t="shared" ref="K15:K20" si="0">InputLengthUnit</f>
        <v>mm</v>
      </c>
      <c r="L15" s="10" t="s">
        <v>45</v>
      </c>
      <c r="M15" s="3"/>
      <c r="N15" s="3"/>
      <c r="O15" s="3"/>
      <c r="P15" s="3"/>
      <c r="Q15" s="3"/>
      <c r="R15" s="3"/>
      <c r="S15" s="2"/>
      <c r="T15" s="2"/>
      <c r="U15" s="2"/>
    </row>
    <row r="16" spans="1:21" ht="15" customHeight="1">
      <c r="A16" s="19" t="s">
        <v>46</v>
      </c>
      <c r="B16" s="19"/>
      <c r="C16" s="19"/>
      <c r="D16" s="19"/>
      <c r="E16" s="19"/>
      <c r="F16" s="19"/>
      <c r="G16" s="3"/>
      <c r="H16" s="4" t="s">
        <v>47</v>
      </c>
      <c r="I16" s="4" t="s">
        <v>48</v>
      </c>
      <c r="J16" s="13">
        <v>550</v>
      </c>
      <c r="K16" s="4" t="str">
        <f t="shared" si="0"/>
        <v>mm</v>
      </c>
      <c r="L16" s="10" t="s">
        <v>49</v>
      </c>
      <c r="M16" s="3"/>
      <c r="N16" s="3"/>
      <c r="O16" s="3"/>
      <c r="P16" s="3"/>
      <c r="Q16" s="3"/>
      <c r="R16" s="3"/>
      <c r="S16" s="2"/>
      <c r="T16" s="2"/>
      <c r="U16" s="2"/>
    </row>
    <row r="17" spans="1:21" ht="15" customHeight="1">
      <c r="A17" s="19" t="s">
        <v>50</v>
      </c>
      <c r="B17" s="19"/>
      <c r="C17" s="19"/>
      <c r="D17" s="19"/>
      <c r="E17" s="19"/>
      <c r="F17" s="19"/>
      <c r="G17" s="3"/>
      <c r="H17" s="4" t="s">
        <v>51</v>
      </c>
      <c r="I17" s="4" t="s">
        <v>52</v>
      </c>
      <c r="J17" s="13">
        <f>J19-J15</f>
        <v>350</v>
      </c>
      <c r="K17" s="4" t="str">
        <f t="shared" si="0"/>
        <v>mm</v>
      </c>
      <c r="L17" s="10" t="s">
        <v>53</v>
      </c>
      <c r="M17" s="3"/>
      <c r="N17" s="3"/>
      <c r="O17" s="3"/>
      <c r="P17" s="3"/>
      <c r="Q17" s="3"/>
      <c r="R17" s="3"/>
      <c r="S17" s="2"/>
      <c r="T17" s="2"/>
      <c r="U17" s="2"/>
    </row>
    <row r="18" spans="1:21" ht="15" customHeight="1">
      <c r="A18" s="19" t="s">
        <v>54</v>
      </c>
      <c r="B18" s="19"/>
      <c r="C18" s="19"/>
      <c r="D18" s="19"/>
      <c r="E18" s="19"/>
      <c r="F18" s="19"/>
      <c r="G18" s="3"/>
      <c r="H18" s="4" t="s">
        <v>55</v>
      </c>
      <c r="I18" s="4" t="s">
        <v>56</v>
      </c>
      <c r="J18" s="13">
        <v>250</v>
      </c>
      <c r="K18" s="4" t="str">
        <f t="shared" si="0"/>
        <v>mm</v>
      </c>
      <c r="L18" s="10" t="s">
        <v>57</v>
      </c>
      <c r="M18" s="3"/>
      <c r="N18" s="3"/>
      <c r="O18" s="3"/>
      <c r="P18" s="3"/>
      <c r="Q18" s="3"/>
      <c r="R18" s="3"/>
      <c r="S18" s="2"/>
      <c r="T18" s="2"/>
      <c r="U18" s="2"/>
    </row>
    <row r="19" spans="1:21" ht="15" customHeight="1">
      <c r="A19" s="3"/>
      <c r="B19" s="3"/>
      <c r="C19" s="3"/>
      <c r="D19" s="3"/>
      <c r="E19" s="3"/>
      <c r="F19" s="3"/>
      <c r="G19" s="3"/>
      <c r="H19" s="4" t="s">
        <v>58</v>
      </c>
      <c r="I19" s="4" t="s">
        <v>59</v>
      </c>
      <c r="J19" s="13">
        <v>600</v>
      </c>
      <c r="K19" s="4" t="str">
        <f t="shared" si="0"/>
        <v>mm</v>
      </c>
      <c r="L19" s="10" t="s">
        <v>60</v>
      </c>
      <c r="M19" s="3"/>
      <c r="N19" s="3"/>
      <c r="O19" s="3"/>
      <c r="P19" s="3"/>
      <c r="Q19" s="3"/>
      <c r="R19" s="3"/>
      <c r="S19" s="2"/>
      <c r="T19" s="2"/>
      <c r="U19" s="2"/>
    </row>
    <row r="20" spans="1:21" ht="15" customHeight="1">
      <c r="A20" s="3"/>
      <c r="B20" s="3"/>
      <c r="C20" s="3"/>
      <c r="D20" s="3"/>
      <c r="E20" s="3"/>
      <c r="F20" s="3"/>
      <c r="G20" s="3"/>
      <c r="H20" s="4" t="s">
        <v>61</v>
      </c>
      <c r="I20" s="4" t="s">
        <v>62</v>
      </c>
      <c r="J20" s="13">
        <f>J16+J18</f>
        <v>800</v>
      </c>
      <c r="K20" s="4" t="str">
        <f t="shared" si="0"/>
        <v>mm</v>
      </c>
      <c r="L20" s="10" t="s">
        <v>63</v>
      </c>
      <c r="M20" s="3"/>
      <c r="N20" s="3"/>
      <c r="O20" s="3"/>
      <c r="P20" s="3"/>
      <c r="Q20" s="3"/>
      <c r="R20" s="3"/>
      <c r="S20" s="2"/>
      <c r="T20" s="2"/>
      <c r="U20" s="2"/>
    </row>
    <row r="21" spans="1:21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2"/>
      <c r="U21" s="2"/>
    </row>
    <row r="22" spans="1:21" ht="15" customHeight="1">
      <c r="A22" s="3"/>
      <c r="B22" s="3"/>
      <c r="C22" s="3"/>
      <c r="D22" s="3"/>
      <c r="E22" s="3"/>
      <c r="F22" s="3"/>
      <c r="G22" s="3"/>
      <c r="H22" s="18" t="s">
        <v>64</v>
      </c>
      <c r="I22" s="18"/>
      <c r="J22" s="18"/>
      <c r="K22" s="18"/>
      <c r="L22" s="18"/>
      <c r="M22" s="18"/>
      <c r="N22" s="18"/>
      <c r="O22" s="18"/>
      <c r="P22" s="18"/>
      <c r="Q22" s="18"/>
      <c r="R22" s="15" t="s">
        <v>6</v>
      </c>
      <c r="S22" s="2"/>
      <c r="T22" s="2"/>
      <c r="U22" s="2"/>
    </row>
    <row r="23" spans="1:21" ht="15" customHeight="1">
      <c r="A23" s="3"/>
      <c r="B23" s="3"/>
      <c r="C23" s="3"/>
      <c r="D23" s="3"/>
      <c r="E23" s="3"/>
      <c r="F23" s="3"/>
      <c r="G23" s="3"/>
      <c r="H23" s="5" t="s">
        <v>65</v>
      </c>
      <c r="I23" s="16" t="s">
        <v>66</v>
      </c>
      <c r="J23" s="17"/>
      <c r="K23" s="17"/>
      <c r="L23" s="17"/>
      <c r="M23" s="17"/>
      <c r="N23" s="17"/>
      <c r="O23" s="17"/>
      <c r="P23" s="4"/>
      <c r="Q23" s="4"/>
      <c r="R23" s="4"/>
      <c r="S23" s="2"/>
      <c r="T23" s="2"/>
      <c r="U23" s="2"/>
    </row>
    <row r="24" spans="1:21" ht="15" customHeight="1">
      <c r="A24" s="3"/>
      <c r="B24" s="3"/>
      <c r="C24" s="3"/>
      <c r="D24" s="3"/>
      <c r="E24" s="3"/>
      <c r="F24" s="3"/>
      <c r="G24" s="3"/>
      <c r="H24" s="6" t="s">
        <v>12</v>
      </c>
      <c r="I24" s="6" t="s">
        <v>39</v>
      </c>
      <c r="J24" s="6" t="s">
        <v>67</v>
      </c>
      <c r="K24" s="6" t="s">
        <v>68</v>
      </c>
      <c r="L24" s="6" t="s">
        <v>69</v>
      </c>
      <c r="M24" s="6" t="s">
        <v>70</v>
      </c>
      <c r="N24" s="6" t="s">
        <v>71</v>
      </c>
      <c r="O24" s="7" t="s">
        <v>15</v>
      </c>
      <c r="P24" s="4"/>
      <c r="Q24" s="4"/>
      <c r="R24" s="4"/>
      <c r="S24" s="2"/>
      <c r="T24" s="2"/>
      <c r="U24" s="2"/>
    </row>
    <row r="25" spans="1:21" ht="15" customHeight="1">
      <c r="A25" s="3"/>
      <c r="B25" s="3"/>
      <c r="C25" s="3"/>
      <c r="D25" s="3"/>
      <c r="E25" s="3"/>
      <c r="F25" s="3"/>
      <c r="G25" s="3"/>
      <c r="H25" s="8" t="s">
        <v>16</v>
      </c>
      <c r="I25" s="8" t="s">
        <v>72</v>
      </c>
      <c r="J25" s="8" t="s">
        <v>73</v>
      </c>
      <c r="K25" s="8" t="s">
        <v>74</v>
      </c>
      <c r="L25" s="8" t="s">
        <v>75</v>
      </c>
      <c r="M25" s="8" t="s">
        <v>76</v>
      </c>
      <c r="N25" s="8" t="s">
        <v>77</v>
      </c>
      <c r="O25" s="9" t="s">
        <v>20</v>
      </c>
      <c r="P25" s="4"/>
      <c r="Q25" s="4"/>
      <c r="R25" s="4"/>
      <c r="S25" s="2"/>
      <c r="T25" s="2"/>
      <c r="U25" s="2"/>
    </row>
    <row r="26" spans="1:21" ht="15" customHeight="1">
      <c r="A26" s="3"/>
      <c r="B26" s="3"/>
      <c r="C26" s="3"/>
      <c r="D26" s="3"/>
      <c r="E26" s="3"/>
      <c r="F26" s="3"/>
      <c r="G26" s="3"/>
      <c r="H26" s="11" t="s">
        <v>78</v>
      </c>
      <c r="I26" s="11" t="s">
        <v>79</v>
      </c>
      <c r="J26" s="11" t="str">
        <f>InputLengthUnit</f>
        <v>mm</v>
      </c>
      <c r="K26" s="11" t="str">
        <f>InputLengthUnit</f>
        <v>mm</v>
      </c>
      <c r="L26" s="11" t="s">
        <v>80</v>
      </c>
      <c r="M26" s="11" t="str">
        <f>InputLengthUnit</f>
        <v>mm</v>
      </c>
      <c r="N26" s="11" t="str">
        <f>InputLengthUnit</f>
        <v>mm</v>
      </c>
      <c r="O26" s="12"/>
      <c r="P26" s="11"/>
      <c r="Q26" s="11"/>
      <c r="R26" s="11"/>
      <c r="S26" s="2"/>
      <c r="T26" s="2"/>
      <c r="U26" s="2"/>
    </row>
    <row r="27" spans="1:21" ht="15" customHeight="1">
      <c r="A27" s="3"/>
      <c r="B27" s="3"/>
      <c r="C27" s="3"/>
      <c r="D27" s="3"/>
      <c r="E27" s="3"/>
      <c r="F27" s="3"/>
      <c r="G27" s="3"/>
      <c r="H27" s="4" t="str">
        <f t="shared" ref="H27:H32" si="1">IF(OR(selGeometryType="",I27=""),"",selGeometryType&amp;"."&amp;INDEX(rngCurrentSideKeys,MATCH(I27,rngCurrentSideNames,0)))</f>
        <v>LSection.Top</v>
      </c>
      <c r="I27" s="4" t="s">
        <v>44</v>
      </c>
      <c r="J27" s="13">
        <v>40</v>
      </c>
      <c r="K27" s="13">
        <v>20</v>
      </c>
      <c r="L27" s="14">
        <v>3</v>
      </c>
      <c r="M27" s="13">
        <v>40</v>
      </c>
      <c r="N27" s="13">
        <v>40</v>
      </c>
      <c r="O27" s="10" t="s">
        <v>81</v>
      </c>
      <c r="P27" s="4"/>
      <c r="Q27" s="4"/>
      <c r="R27" s="4"/>
      <c r="S27" s="2"/>
      <c r="T27" s="2"/>
      <c r="U27" s="2"/>
    </row>
    <row r="28" spans="1:21" ht="15" customHeight="1">
      <c r="A28" s="3"/>
      <c r="B28" s="3"/>
      <c r="C28" s="3"/>
      <c r="D28" s="3"/>
      <c r="E28" s="3"/>
      <c r="F28" s="3"/>
      <c r="G28" s="3"/>
      <c r="H28" s="4" t="str">
        <f t="shared" si="1"/>
        <v>LSection.InnerRight</v>
      </c>
      <c r="I28" s="4" t="s">
        <v>48</v>
      </c>
      <c r="J28" s="13">
        <v>40</v>
      </c>
      <c r="K28" s="13">
        <v>20</v>
      </c>
      <c r="L28" s="14">
        <v>5</v>
      </c>
      <c r="M28" s="13">
        <v>40</v>
      </c>
      <c r="N28" s="13">
        <v>40</v>
      </c>
      <c r="O28" s="10" t="s">
        <v>82</v>
      </c>
      <c r="P28" s="4"/>
      <c r="Q28" s="4"/>
      <c r="R28" s="4"/>
      <c r="S28" s="2"/>
      <c r="T28" s="2"/>
      <c r="U28" s="2"/>
    </row>
    <row r="29" spans="1:21" ht="15" customHeight="1">
      <c r="A29" s="3"/>
      <c r="B29" s="3"/>
      <c r="C29" s="3"/>
      <c r="D29" s="3"/>
      <c r="E29" s="3"/>
      <c r="F29" s="3"/>
      <c r="G29" s="3"/>
      <c r="H29" s="4" t="str">
        <f t="shared" si="1"/>
        <v>LSection.Shoulder</v>
      </c>
      <c r="I29" s="4" t="s">
        <v>52</v>
      </c>
      <c r="J29" s="13">
        <v>40</v>
      </c>
      <c r="K29" s="13">
        <v>20</v>
      </c>
      <c r="L29" s="14">
        <v>4</v>
      </c>
      <c r="M29" s="13">
        <v>40</v>
      </c>
      <c r="N29" s="13">
        <v>40</v>
      </c>
      <c r="O29" s="10" t="s">
        <v>83</v>
      </c>
      <c r="P29" s="4"/>
      <c r="Q29" s="4"/>
      <c r="R29" s="4"/>
      <c r="S29" s="2"/>
      <c r="T29" s="2"/>
      <c r="U29" s="2"/>
    </row>
    <row r="30" spans="1:21" ht="15" customHeight="1">
      <c r="A30" s="3"/>
      <c r="B30" s="3"/>
      <c r="C30" s="3"/>
      <c r="D30" s="3"/>
      <c r="E30" s="3"/>
      <c r="F30" s="3"/>
      <c r="G30" s="3"/>
      <c r="H30" s="4" t="str">
        <f t="shared" si="1"/>
        <v>LSection.Right</v>
      </c>
      <c r="I30" s="4" t="s">
        <v>56</v>
      </c>
      <c r="J30" s="13">
        <v>40</v>
      </c>
      <c r="K30" s="13">
        <v>20</v>
      </c>
      <c r="L30" s="14">
        <v>2</v>
      </c>
      <c r="M30" s="13">
        <v>40</v>
      </c>
      <c r="N30" s="13">
        <v>40</v>
      </c>
      <c r="O30" s="10" t="s">
        <v>84</v>
      </c>
      <c r="P30" s="4"/>
      <c r="Q30" s="4"/>
      <c r="R30" s="4"/>
      <c r="S30" s="2"/>
      <c r="T30" s="2"/>
      <c r="U30" s="2"/>
    </row>
    <row r="31" spans="1:21" ht="15" customHeight="1">
      <c r="A31" s="3"/>
      <c r="B31" s="3"/>
      <c r="C31" s="3"/>
      <c r="D31" s="3"/>
      <c r="E31" s="3"/>
      <c r="F31" s="3"/>
      <c r="G31" s="3"/>
      <c r="H31" s="4" t="str">
        <f t="shared" si="1"/>
        <v>LSection.Bottom</v>
      </c>
      <c r="I31" s="4" t="s">
        <v>59</v>
      </c>
      <c r="J31" s="13">
        <v>40</v>
      </c>
      <c r="K31" s="13">
        <v>20</v>
      </c>
      <c r="L31" s="14">
        <v>6</v>
      </c>
      <c r="M31" s="13">
        <v>40</v>
      </c>
      <c r="N31" s="13">
        <v>40</v>
      </c>
      <c r="O31" s="10" t="s">
        <v>85</v>
      </c>
      <c r="P31" s="4"/>
      <c r="Q31" s="4"/>
      <c r="R31" s="4"/>
      <c r="S31" s="2"/>
      <c r="T31" s="2"/>
      <c r="U31" s="2"/>
    </row>
    <row r="32" spans="1:21" ht="15" customHeight="1">
      <c r="A32" s="3"/>
      <c r="B32" s="3"/>
      <c r="C32" s="3"/>
      <c r="D32" s="3"/>
      <c r="E32" s="3"/>
      <c r="F32" s="3"/>
      <c r="G32" s="3"/>
      <c r="H32" s="4" t="str">
        <f t="shared" si="1"/>
        <v>LSection.Left</v>
      </c>
      <c r="I32" s="4" t="s">
        <v>62</v>
      </c>
      <c r="J32" s="13">
        <v>40</v>
      </c>
      <c r="K32" s="13">
        <v>20</v>
      </c>
      <c r="L32" s="14">
        <v>8</v>
      </c>
      <c r="M32" s="13">
        <v>40</v>
      </c>
      <c r="N32" s="13">
        <v>40</v>
      </c>
      <c r="O32" s="10" t="s">
        <v>86</v>
      </c>
      <c r="P32" s="4"/>
      <c r="Q32" s="4"/>
      <c r="R32" s="4"/>
      <c r="S32" s="2"/>
      <c r="T32" s="2"/>
      <c r="U32" s="2"/>
    </row>
    <row r="33" spans="1:21" ht="15" customHeight="1">
      <c r="A33" s="3"/>
      <c r="B33" s="3"/>
      <c r="C33" s="3"/>
      <c r="D33" s="3"/>
      <c r="E33" s="3"/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"/>
      <c r="T33" s="2"/>
      <c r="U33" s="2"/>
    </row>
    <row r="34" spans="1:21" ht="15" customHeight="1">
      <c r="A34" s="3"/>
      <c r="B34" s="3"/>
      <c r="C34" s="3"/>
      <c r="D34" s="3"/>
      <c r="E34" s="3"/>
      <c r="F34" s="3"/>
      <c r="G34" s="3"/>
      <c r="H34" s="5" t="s">
        <v>87</v>
      </c>
      <c r="I34" s="16" t="s">
        <v>88</v>
      </c>
      <c r="J34" s="17"/>
      <c r="K34" s="17"/>
      <c r="L34" s="17"/>
      <c r="M34" s="17"/>
      <c r="N34" s="17"/>
      <c r="O34" s="17"/>
      <c r="P34" s="17"/>
      <c r="Q34" s="17"/>
      <c r="R34" s="17"/>
      <c r="S34" s="2"/>
      <c r="T34" s="2"/>
      <c r="U34" s="2"/>
    </row>
    <row r="35" spans="1:21" ht="15" customHeight="1">
      <c r="A35" s="3"/>
      <c r="B35" s="3"/>
      <c r="C35" s="3"/>
      <c r="D35" s="3"/>
      <c r="E35" s="3"/>
      <c r="F35" s="3"/>
      <c r="G35" s="3"/>
      <c r="H35" s="6" t="s">
        <v>12</v>
      </c>
      <c r="I35" s="6" t="s">
        <v>39</v>
      </c>
      <c r="J35" s="6" t="s">
        <v>89</v>
      </c>
      <c r="K35" s="6" t="s">
        <v>90</v>
      </c>
      <c r="L35" s="6" t="s">
        <v>91</v>
      </c>
      <c r="M35" s="6" t="s">
        <v>92</v>
      </c>
      <c r="N35" s="6" t="s">
        <v>93</v>
      </c>
      <c r="O35" s="6" t="s">
        <v>94</v>
      </c>
      <c r="P35" s="6" t="s">
        <v>95</v>
      </c>
      <c r="Q35" s="6" t="s">
        <v>96</v>
      </c>
      <c r="R35" s="7" t="s">
        <v>15</v>
      </c>
      <c r="S35" s="2"/>
      <c r="T35" s="2"/>
      <c r="U35" s="2"/>
    </row>
    <row r="36" spans="1:21" ht="15" customHeight="1">
      <c r="A36" s="3"/>
      <c r="B36" s="3"/>
      <c r="C36" s="3"/>
      <c r="D36" s="3"/>
      <c r="E36" s="3"/>
      <c r="F36" s="3"/>
      <c r="G36" s="3"/>
      <c r="H36" s="8" t="s">
        <v>16</v>
      </c>
      <c r="I36" s="8" t="s">
        <v>72</v>
      </c>
      <c r="J36" s="8" t="s">
        <v>97</v>
      </c>
      <c r="K36" s="8" t="s">
        <v>98</v>
      </c>
      <c r="L36" s="8" t="s">
        <v>99</v>
      </c>
      <c r="M36" s="8" t="s">
        <v>100</v>
      </c>
      <c r="N36" s="8" t="s">
        <v>101</v>
      </c>
      <c r="O36" s="8" t="s">
        <v>102</v>
      </c>
      <c r="P36" s="8" t="s">
        <v>103</v>
      </c>
      <c r="Q36" s="8" t="s">
        <v>104</v>
      </c>
      <c r="R36" s="9" t="s">
        <v>20</v>
      </c>
      <c r="S36" s="2"/>
      <c r="T36" s="2"/>
      <c r="U36" s="2"/>
    </row>
    <row r="37" spans="1:21" ht="15" customHeight="1">
      <c r="A37" s="3"/>
      <c r="B37" s="3"/>
      <c r="C37" s="3"/>
      <c r="D37" s="3"/>
      <c r="E37" s="3"/>
      <c r="F37" s="3"/>
      <c r="G37" s="3"/>
      <c r="H37" s="11" t="s">
        <v>78</v>
      </c>
      <c r="I37" s="11" t="s">
        <v>79</v>
      </c>
      <c r="J37" s="11" t="str">
        <f>InputLengthUnit</f>
        <v>mm</v>
      </c>
      <c r="K37" s="11" t="str">
        <f>InputLengthUnit</f>
        <v>mm</v>
      </c>
      <c r="L37" s="11" t="s">
        <v>24</v>
      </c>
      <c r="M37" s="11" t="s">
        <v>24</v>
      </c>
      <c r="N37" s="11" t="str">
        <f>InputLengthUnit</f>
        <v>mm</v>
      </c>
      <c r="O37" s="11" t="str">
        <f>InputLengthUnit</f>
        <v>mm</v>
      </c>
      <c r="P37" s="11" t="s">
        <v>24</v>
      </c>
      <c r="Q37" s="11" t="s">
        <v>24</v>
      </c>
      <c r="R37" s="12"/>
      <c r="S37" s="2"/>
      <c r="T37" s="2"/>
      <c r="U37" s="2"/>
    </row>
    <row r="38" spans="1:21" ht="15" customHeight="1">
      <c r="A38" s="3"/>
      <c r="B38" s="3"/>
      <c r="C38" s="3"/>
      <c r="D38" s="3"/>
      <c r="E38" s="3"/>
      <c r="F38" s="3"/>
      <c r="G38" s="3"/>
      <c r="H38" s="4" t="str">
        <f t="shared" ref="H38:I43" si="2">H27&amp;""</f>
        <v>LSection.Top</v>
      </c>
      <c r="I38" s="4" t="str">
        <f t="shared" si="2"/>
        <v>Верх</v>
      </c>
      <c r="J38" s="13">
        <v>16</v>
      </c>
      <c r="K38" s="13">
        <v>0</v>
      </c>
      <c r="L38" s="4" t="s">
        <v>105</v>
      </c>
      <c r="M38" s="4" t="s">
        <v>106</v>
      </c>
      <c r="N38" s="13">
        <v>12</v>
      </c>
      <c r="O38" s="13">
        <v>0</v>
      </c>
      <c r="P38" s="4" t="s">
        <v>107</v>
      </c>
      <c r="Q38" s="4" t="s">
        <v>108</v>
      </c>
      <c r="R38" s="10" t="s">
        <v>109</v>
      </c>
      <c r="S38" s="2"/>
      <c r="T38" s="2"/>
      <c r="U38" s="2"/>
    </row>
    <row r="39" spans="1:21" ht="15" customHeight="1">
      <c r="A39" s="3"/>
      <c r="B39" s="3"/>
      <c r="C39" s="3"/>
      <c r="D39" s="3"/>
      <c r="E39" s="3"/>
      <c r="F39" s="3"/>
      <c r="G39" s="3"/>
      <c r="H39" s="4" t="str">
        <f t="shared" si="2"/>
        <v>LSection.InnerRight</v>
      </c>
      <c r="I39" s="4" t="str">
        <f t="shared" si="2"/>
        <v>Внутр. вертикаль</v>
      </c>
      <c r="J39" s="13">
        <v>16</v>
      </c>
      <c r="K39" s="13">
        <v>60</v>
      </c>
      <c r="L39" s="4" t="s">
        <v>105</v>
      </c>
      <c r="M39" s="4" t="s">
        <v>106</v>
      </c>
      <c r="N39" s="13"/>
      <c r="O39" s="13">
        <v>0</v>
      </c>
      <c r="P39" s="4" t="s">
        <v>105</v>
      </c>
      <c r="Q39" s="4" t="s">
        <v>106</v>
      </c>
      <c r="R39" s="10" t="s">
        <v>110</v>
      </c>
      <c r="S39" s="2"/>
      <c r="T39" s="2"/>
      <c r="U39" s="2"/>
    </row>
    <row r="40" spans="1:21" ht="15" customHeight="1">
      <c r="A40" s="3"/>
      <c r="B40" s="3"/>
      <c r="C40" s="3"/>
      <c r="D40" s="3"/>
      <c r="E40" s="3"/>
      <c r="F40" s="3"/>
      <c r="G40" s="3"/>
      <c r="H40" s="4" t="str">
        <f t="shared" si="2"/>
        <v>LSection.Shoulder</v>
      </c>
      <c r="I40" s="4" t="str">
        <f t="shared" si="2"/>
        <v>Верх полки</v>
      </c>
      <c r="J40" s="13">
        <v>12</v>
      </c>
      <c r="K40" s="13">
        <v>50</v>
      </c>
      <c r="L40" s="4" t="s">
        <v>107</v>
      </c>
      <c r="M40" s="4" t="s">
        <v>106</v>
      </c>
      <c r="N40" s="13"/>
      <c r="O40" s="13">
        <v>0</v>
      </c>
      <c r="P40" s="4" t="s">
        <v>105</v>
      </c>
      <c r="Q40" s="4" t="s">
        <v>106</v>
      </c>
      <c r="R40" s="10" t="s">
        <v>111</v>
      </c>
      <c r="S40" s="2"/>
      <c r="T40" s="2"/>
      <c r="U40" s="2"/>
    </row>
    <row r="41" spans="1:21" ht="15" customHeight="1">
      <c r="A41" s="3"/>
      <c r="B41" s="3"/>
      <c r="C41" s="3"/>
      <c r="D41" s="3"/>
      <c r="E41" s="3"/>
      <c r="F41" s="3"/>
      <c r="G41" s="3"/>
      <c r="H41" s="4" t="str">
        <f t="shared" si="2"/>
        <v>LSection.Right</v>
      </c>
      <c r="I41" s="4" t="str">
        <f t="shared" si="2"/>
        <v>Справа</v>
      </c>
      <c r="J41" s="13"/>
      <c r="K41" s="13">
        <v>0</v>
      </c>
      <c r="L41" s="4" t="s">
        <v>105</v>
      </c>
      <c r="M41" s="4" t="s">
        <v>106</v>
      </c>
      <c r="N41" s="13"/>
      <c r="O41" s="13">
        <v>0</v>
      </c>
      <c r="P41" s="4" t="s">
        <v>105</v>
      </c>
      <c r="Q41" s="4" t="s">
        <v>106</v>
      </c>
      <c r="R41" s="10" t="s">
        <v>112</v>
      </c>
      <c r="S41" s="2"/>
      <c r="T41" s="2"/>
      <c r="U41" s="2"/>
    </row>
    <row r="42" spans="1:21" ht="15" customHeight="1">
      <c r="A42" s="3"/>
      <c r="B42" s="3"/>
      <c r="C42" s="3"/>
      <c r="D42" s="3"/>
      <c r="E42" s="3"/>
      <c r="F42" s="3"/>
      <c r="G42" s="3"/>
      <c r="H42" s="4" t="str">
        <f t="shared" si="2"/>
        <v>LSection.Bottom</v>
      </c>
      <c r="I42" s="4" t="str">
        <f t="shared" si="2"/>
        <v>Низ</v>
      </c>
      <c r="J42" s="13">
        <v>16</v>
      </c>
      <c r="K42" s="13">
        <v>0</v>
      </c>
      <c r="L42" s="4" t="s">
        <v>105</v>
      </c>
      <c r="M42" s="4" t="s">
        <v>108</v>
      </c>
      <c r="N42" s="13">
        <v>12</v>
      </c>
      <c r="O42" s="13">
        <v>0</v>
      </c>
      <c r="P42" s="4" t="s">
        <v>107</v>
      </c>
      <c r="Q42" s="4" t="s">
        <v>106</v>
      </c>
      <c r="R42" s="10" t="s">
        <v>113</v>
      </c>
      <c r="S42" s="2"/>
      <c r="T42" s="2"/>
      <c r="U42" s="2"/>
    </row>
    <row r="43" spans="1:21" ht="15" customHeight="1">
      <c r="A43" s="3"/>
      <c r="B43" s="3"/>
      <c r="C43" s="3"/>
      <c r="D43" s="3"/>
      <c r="E43" s="3"/>
      <c r="F43" s="3"/>
      <c r="G43" s="3"/>
      <c r="H43" s="4" t="str">
        <f t="shared" si="2"/>
        <v>LSection.Left</v>
      </c>
      <c r="I43" s="4" t="str">
        <f t="shared" si="2"/>
        <v>Слева</v>
      </c>
      <c r="J43" s="13">
        <v>16</v>
      </c>
      <c r="K43" s="13">
        <v>70</v>
      </c>
      <c r="L43" s="4" t="s">
        <v>105</v>
      </c>
      <c r="M43" s="4" t="s">
        <v>106</v>
      </c>
      <c r="N43" s="13">
        <v>12</v>
      </c>
      <c r="O43" s="13">
        <v>70</v>
      </c>
      <c r="P43" s="4" t="s">
        <v>107</v>
      </c>
      <c r="Q43" s="4" t="s">
        <v>108</v>
      </c>
      <c r="R43" s="10" t="s">
        <v>114</v>
      </c>
      <c r="S43" s="2"/>
      <c r="T43" s="2"/>
      <c r="U43" s="2"/>
    </row>
    <row r="44" spans="1:21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</sheetData>
  <mergeCells count="16">
    <mergeCell ref="A3:D3"/>
    <mergeCell ref="H4:K4"/>
    <mergeCell ref="H22:Q22"/>
    <mergeCell ref="I5:L5"/>
    <mergeCell ref="I12:L12"/>
    <mergeCell ref="I23:O23"/>
    <mergeCell ref="I34:R34"/>
    <mergeCell ref="A9:F9"/>
    <mergeCell ref="A10:F10"/>
    <mergeCell ref="A12:F12"/>
    <mergeCell ref="A13:F13"/>
    <mergeCell ref="A14:F14"/>
    <mergeCell ref="A15:F15"/>
    <mergeCell ref="A16:F16"/>
    <mergeCell ref="A17:F17"/>
    <mergeCell ref="A18:F18"/>
  </mergeCells>
  <dataValidations count="33">
    <dataValidation type="list" sqref="B5" xr:uid="{00000000-0002-0000-0000-000000000000}">
      <formula1>lstInputLength</formula1>
    </dataValidation>
    <dataValidation type="list" sqref="I27" xr:uid="{00000000-0002-0000-0000-000001000000}">
      <formula1>lstSide1</formula1>
    </dataValidation>
    <dataValidation type="list" sqref="L38" xr:uid="{00000000-0002-0000-0000-000002000000}">
      <formula1>lstBind2_1</formula1>
    </dataValidation>
    <dataValidation type="list" sqref="M38" xr:uid="{00000000-0002-0000-0000-000003000000}">
      <formula1>lstPos2_1</formula1>
    </dataValidation>
    <dataValidation type="list" sqref="P38" xr:uid="{00000000-0002-0000-0000-000004000000}">
      <formula1>lstBind3_1</formula1>
    </dataValidation>
    <dataValidation type="list" sqref="Q38" xr:uid="{00000000-0002-0000-0000-000005000000}">
      <formula1>lstPos3_1</formula1>
    </dataValidation>
    <dataValidation type="decimal" operator="greaterThanOrEqual" sqref="N38:O43 J38:K43 M27:N32 J27:K32" xr:uid="{00000000-0002-0000-0000-000006000000}">
      <formula1>0</formula1>
    </dataValidation>
    <dataValidation type="whole" operator="greaterThanOrEqual" sqref="L27:L32" xr:uid="{00000000-0002-0000-0000-00000A000000}">
      <formula1>0</formula1>
    </dataValidation>
    <dataValidation type="list" sqref="I28" xr:uid="{00000000-0002-0000-0000-00000F000000}">
      <formula1>lstSide2</formula1>
    </dataValidation>
    <dataValidation type="list" sqref="L39" xr:uid="{00000000-0002-0000-0000-000010000000}">
      <formula1>lstBind2_2</formula1>
    </dataValidation>
    <dataValidation type="list" sqref="M39" xr:uid="{00000000-0002-0000-0000-000011000000}">
      <formula1>lstPos2_2</formula1>
    </dataValidation>
    <dataValidation type="list" sqref="P39" xr:uid="{00000000-0002-0000-0000-000012000000}">
      <formula1>lstBind3_2</formula1>
    </dataValidation>
    <dataValidation type="list" sqref="Q39" xr:uid="{00000000-0002-0000-0000-000013000000}">
      <formula1>lstPos3_2</formula1>
    </dataValidation>
    <dataValidation type="list" sqref="I29" xr:uid="{00000000-0002-0000-0000-00001D000000}">
      <formula1>lstSide3</formula1>
    </dataValidation>
    <dataValidation type="list" sqref="L40" xr:uid="{00000000-0002-0000-0000-00001E000000}">
      <formula1>lstBind2_3</formula1>
    </dataValidation>
    <dataValidation type="list" sqref="M40" xr:uid="{00000000-0002-0000-0000-00001F000000}">
      <formula1>lstPos2_3</formula1>
    </dataValidation>
    <dataValidation type="list" sqref="P40" xr:uid="{00000000-0002-0000-0000-000020000000}">
      <formula1>lstBind3_3</formula1>
    </dataValidation>
    <dataValidation type="list" sqref="Q40" xr:uid="{00000000-0002-0000-0000-000021000000}">
      <formula1>lstPos3_3</formula1>
    </dataValidation>
    <dataValidation type="list" sqref="I30" xr:uid="{00000000-0002-0000-0000-00002B000000}">
      <formula1>lstSide4</formula1>
    </dataValidation>
    <dataValidation type="list" sqref="L41" xr:uid="{00000000-0002-0000-0000-00002C000000}">
      <formula1>lstBind2_4</formula1>
    </dataValidation>
    <dataValidation type="list" sqref="M41" xr:uid="{00000000-0002-0000-0000-00002D000000}">
      <formula1>lstPos2_4</formula1>
    </dataValidation>
    <dataValidation type="list" sqref="P41" xr:uid="{00000000-0002-0000-0000-00002E000000}">
      <formula1>lstBind3_4</formula1>
    </dataValidation>
    <dataValidation type="list" sqref="Q41" xr:uid="{00000000-0002-0000-0000-00002F000000}">
      <formula1>lstPos3_4</formula1>
    </dataValidation>
    <dataValidation type="list" sqref="I31" xr:uid="{00000000-0002-0000-0000-000039000000}">
      <formula1>lstSide5</formula1>
    </dataValidation>
    <dataValidation type="list" sqref="L42" xr:uid="{00000000-0002-0000-0000-00003A000000}">
      <formula1>lstBind2_5</formula1>
    </dataValidation>
    <dataValidation type="list" sqref="M42" xr:uid="{00000000-0002-0000-0000-00003B000000}">
      <formula1>lstPos2_5</formula1>
    </dataValidation>
    <dataValidation type="list" sqref="P42" xr:uid="{00000000-0002-0000-0000-00003C000000}">
      <formula1>lstBind3_5</formula1>
    </dataValidation>
    <dataValidation type="list" sqref="Q42" xr:uid="{00000000-0002-0000-0000-00003D000000}">
      <formula1>lstPos3_5</formula1>
    </dataValidation>
    <dataValidation type="list" sqref="I32" xr:uid="{00000000-0002-0000-0000-000047000000}">
      <formula1>lstSide6</formula1>
    </dataValidation>
    <dataValidation type="list" sqref="L43" xr:uid="{00000000-0002-0000-0000-000048000000}">
      <formula1>lstBind2_6</formula1>
    </dataValidation>
    <dataValidation type="list" sqref="M43" xr:uid="{00000000-0002-0000-0000-000049000000}">
      <formula1>lstPos2_6</formula1>
    </dataValidation>
    <dataValidation type="list" sqref="P43" xr:uid="{00000000-0002-0000-0000-00004A000000}">
      <formula1>lstBind3_6</formula1>
    </dataValidation>
    <dataValidation type="list" sqref="Q43" xr:uid="{00000000-0002-0000-0000-00004B000000}">
      <formula1>lstPos3_6</formula1>
    </dataValidation>
  </dataValidations>
  <hyperlinks>
    <hyperlink ref="L4" location="'Config'!A9" display="Подробнее" xr:uid="{B817AC2A-5B51-4930-AAF7-7BEFCC8B4A2B}"/>
    <hyperlink ref="R22" location="'Config'!A12" display="Подробнее" xr:uid="{6D2D6E65-57F9-4932-AACC-24718C80C9B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"/>
  <sheetViews>
    <sheetView showGridLines="0" workbookViewId="0"/>
  </sheetViews>
  <sheetFormatPr defaultRowHeight="14.25"/>
  <sheetData>
    <row r="1" spans="1:3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</row>
    <row r="2" spans="1:31">
      <c r="A2" s="1" t="s">
        <v>8</v>
      </c>
      <c r="B2" s="1" t="str">
        <f>Config!I15</f>
        <v>Верх</v>
      </c>
      <c r="C2" s="1" t="s">
        <v>105</v>
      </c>
      <c r="D2" s="1" t="s">
        <v>106</v>
      </c>
      <c r="E2" s="1" t="s">
        <v>105</v>
      </c>
      <c r="F2" s="1" t="s">
        <v>106</v>
      </c>
      <c r="G2" s="1" t="str">
        <f>Config!I15</f>
        <v>Верх</v>
      </c>
      <c r="H2" s="1" t="s">
        <v>105</v>
      </c>
      <c r="I2" s="1" t="s">
        <v>106</v>
      </c>
      <c r="J2" s="1" t="s">
        <v>105</v>
      </c>
      <c r="K2" s="1" t="s">
        <v>106</v>
      </c>
      <c r="L2" s="1" t="str">
        <f>Config!I15</f>
        <v>Верх</v>
      </c>
      <c r="M2" s="1" t="s">
        <v>105</v>
      </c>
      <c r="N2" s="1" t="s">
        <v>106</v>
      </c>
      <c r="O2" s="1" t="s">
        <v>105</v>
      </c>
      <c r="P2" s="1" t="s">
        <v>106</v>
      </c>
      <c r="Q2" s="1" t="str">
        <f>Config!I15</f>
        <v>Верх</v>
      </c>
      <c r="R2" s="1" t="s">
        <v>105</v>
      </c>
      <c r="S2" s="1" t="s">
        <v>106</v>
      </c>
      <c r="T2" s="1" t="s">
        <v>105</v>
      </c>
      <c r="U2" s="1" t="s">
        <v>106</v>
      </c>
      <c r="V2" s="1" t="str">
        <f>Config!I15</f>
        <v>Верх</v>
      </c>
      <c r="W2" s="1" t="s">
        <v>105</v>
      </c>
      <c r="X2" s="1" t="s">
        <v>106</v>
      </c>
      <c r="Y2" s="1" t="s">
        <v>105</v>
      </c>
      <c r="Z2" s="1" t="s">
        <v>106</v>
      </c>
      <c r="AA2" s="1" t="str">
        <f>Config!I15</f>
        <v>Верх</v>
      </c>
      <c r="AB2" s="1" t="s">
        <v>105</v>
      </c>
      <c r="AC2" s="1" t="s">
        <v>106</v>
      </c>
      <c r="AD2" s="1" t="s">
        <v>105</v>
      </c>
      <c r="AE2" s="1" t="s">
        <v>106</v>
      </c>
    </row>
    <row r="3" spans="1:31">
      <c r="A3" s="1" t="s">
        <v>146</v>
      </c>
      <c r="B3" s="1" t="str">
        <f>Config!I16</f>
        <v>Внутр. вертикаль</v>
      </c>
      <c r="C3" s="1" t="s">
        <v>107</v>
      </c>
      <c r="D3" s="1" t="s">
        <v>108</v>
      </c>
      <c r="E3" s="1" t="s">
        <v>107</v>
      </c>
      <c r="F3" s="1" t="s">
        <v>108</v>
      </c>
      <c r="G3" s="1" t="str">
        <f>Config!I16</f>
        <v>Внутр. вертикаль</v>
      </c>
      <c r="H3" s="1" t="s">
        <v>107</v>
      </c>
      <c r="I3" s="1" t="s">
        <v>108</v>
      </c>
      <c r="J3" s="1" t="s">
        <v>107</v>
      </c>
      <c r="K3" s="1" t="s">
        <v>108</v>
      </c>
      <c r="L3" s="1" t="str">
        <f>Config!I16</f>
        <v>Внутр. вертикаль</v>
      </c>
      <c r="M3" s="1" t="s">
        <v>107</v>
      </c>
      <c r="N3" s="1" t="s">
        <v>108</v>
      </c>
      <c r="O3" s="1" t="s">
        <v>107</v>
      </c>
      <c r="P3" s="1" t="s">
        <v>108</v>
      </c>
      <c r="Q3" s="1" t="str">
        <f>Config!I16</f>
        <v>Внутр. вертикаль</v>
      </c>
      <c r="R3" s="1" t="s">
        <v>107</v>
      </c>
      <c r="S3" s="1" t="s">
        <v>108</v>
      </c>
      <c r="T3" s="1" t="s">
        <v>107</v>
      </c>
      <c r="U3" s="1" t="s">
        <v>108</v>
      </c>
      <c r="V3" s="1" t="str">
        <f>Config!I16</f>
        <v>Внутр. вертикаль</v>
      </c>
      <c r="W3" s="1" t="s">
        <v>107</v>
      </c>
      <c r="X3" s="1" t="s">
        <v>108</v>
      </c>
      <c r="Y3" s="1" t="s">
        <v>107</v>
      </c>
      <c r="Z3" s="1" t="s">
        <v>108</v>
      </c>
      <c r="AA3" s="1" t="str">
        <f>Config!I16</f>
        <v>Внутр. вертикаль</v>
      </c>
      <c r="AB3" s="1" t="s">
        <v>107</v>
      </c>
      <c r="AC3" s="1" t="s">
        <v>108</v>
      </c>
      <c r="AD3" s="1" t="s">
        <v>107</v>
      </c>
      <c r="AE3" s="1" t="s">
        <v>108</v>
      </c>
    </row>
    <row r="4" spans="1:31">
      <c r="A4" s="1" t="s">
        <v>9</v>
      </c>
      <c r="B4" s="1" t="str">
        <f>Config!I17</f>
        <v>Верх полки</v>
      </c>
      <c r="C4" s="1"/>
      <c r="D4" s="1"/>
      <c r="E4" s="1"/>
      <c r="F4" s="1"/>
      <c r="G4" s="1" t="str">
        <f>Config!I17</f>
        <v>Верх полки</v>
      </c>
      <c r="H4" s="1"/>
      <c r="I4" s="1"/>
      <c r="J4" s="1"/>
      <c r="K4" s="1"/>
      <c r="L4" s="1" t="str">
        <f>Config!I17</f>
        <v>Верх полки</v>
      </c>
      <c r="M4" s="1"/>
      <c r="N4" s="1"/>
      <c r="O4" s="1"/>
      <c r="P4" s="1"/>
      <c r="Q4" s="1" t="str">
        <f>Config!I17</f>
        <v>Верх полки</v>
      </c>
      <c r="R4" s="1"/>
      <c r="S4" s="1"/>
      <c r="T4" s="1"/>
      <c r="U4" s="1"/>
      <c r="V4" s="1" t="str">
        <f>Config!I17</f>
        <v>Верх полки</v>
      </c>
      <c r="W4" s="1"/>
      <c r="X4" s="1"/>
      <c r="Y4" s="1"/>
      <c r="Z4" s="1"/>
      <c r="AA4" s="1" t="str">
        <f>Config!I17</f>
        <v>Верх полки</v>
      </c>
      <c r="AB4" s="1"/>
      <c r="AC4" s="1"/>
      <c r="AD4" s="1"/>
      <c r="AE4" s="1"/>
    </row>
    <row r="5" spans="1:31">
      <c r="A5" s="1"/>
      <c r="B5" s="1" t="str">
        <f>Config!I18</f>
        <v>Справа</v>
      </c>
      <c r="C5" s="1"/>
      <c r="D5" s="1"/>
      <c r="E5" s="1"/>
      <c r="F5" s="1"/>
      <c r="G5" s="1" t="str">
        <f>Config!I18</f>
        <v>Справа</v>
      </c>
      <c r="H5" s="1"/>
      <c r="I5" s="1"/>
      <c r="J5" s="1"/>
      <c r="K5" s="1"/>
      <c r="L5" s="1" t="str">
        <f>Config!I18</f>
        <v>Справа</v>
      </c>
      <c r="M5" s="1"/>
      <c r="N5" s="1"/>
      <c r="O5" s="1"/>
      <c r="P5" s="1"/>
      <c r="Q5" s="1" t="str">
        <f>Config!I18</f>
        <v>Справа</v>
      </c>
      <c r="R5" s="1"/>
      <c r="S5" s="1"/>
      <c r="T5" s="1"/>
      <c r="U5" s="1"/>
      <c r="V5" s="1" t="str">
        <f>Config!I18</f>
        <v>Справа</v>
      </c>
      <c r="W5" s="1"/>
      <c r="X5" s="1"/>
      <c r="Y5" s="1"/>
      <c r="Z5" s="1"/>
      <c r="AA5" s="1" t="str">
        <f>Config!I18</f>
        <v>Справа</v>
      </c>
      <c r="AB5" s="1"/>
      <c r="AC5" s="1"/>
      <c r="AD5" s="1"/>
      <c r="AE5" s="1"/>
    </row>
    <row r="6" spans="1:31">
      <c r="A6" s="1"/>
      <c r="B6" s="1" t="str">
        <f>Config!I19</f>
        <v>Низ</v>
      </c>
      <c r="C6" s="1"/>
      <c r="D6" s="1"/>
      <c r="E6" s="1"/>
      <c r="F6" s="1"/>
      <c r="G6" s="1" t="str">
        <f>Config!I19</f>
        <v>Низ</v>
      </c>
      <c r="H6" s="1"/>
      <c r="I6" s="1"/>
      <c r="J6" s="1"/>
      <c r="K6" s="1"/>
      <c r="L6" s="1" t="str">
        <f>Config!I19</f>
        <v>Низ</v>
      </c>
      <c r="M6" s="1"/>
      <c r="N6" s="1"/>
      <c r="O6" s="1"/>
      <c r="P6" s="1"/>
      <c r="Q6" s="1" t="str">
        <f>Config!I19</f>
        <v>Низ</v>
      </c>
      <c r="R6" s="1"/>
      <c r="S6" s="1"/>
      <c r="T6" s="1"/>
      <c r="U6" s="1"/>
      <c r="V6" s="1" t="str">
        <f>Config!I19</f>
        <v>Низ</v>
      </c>
      <c r="W6" s="1"/>
      <c r="X6" s="1"/>
      <c r="Y6" s="1"/>
      <c r="Z6" s="1"/>
      <c r="AA6" s="1" t="str">
        <f>Config!I19</f>
        <v>Низ</v>
      </c>
      <c r="AB6" s="1"/>
      <c r="AC6" s="1"/>
      <c r="AD6" s="1"/>
      <c r="AE6" s="1"/>
    </row>
    <row r="7" spans="1:31">
      <c r="A7" s="1"/>
      <c r="B7" s="1" t="str">
        <f>Config!I20</f>
        <v>Слева</v>
      </c>
      <c r="C7" s="1"/>
      <c r="D7" s="1"/>
      <c r="E7" s="1"/>
      <c r="F7" s="1"/>
      <c r="G7" s="1" t="str">
        <f>Config!I20</f>
        <v>Слева</v>
      </c>
      <c r="H7" s="1"/>
      <c r="I7" s="1"/>
      <c r="J7" s="1"/>
      <c r="K7" s="1"/>
      <c r="L7" s="1" t="str">
        <f>Config!I20</f>
        <v>Слева</v>
      </c>
      <c r="M7" s="1"/>
      <c r="N7" s="1"/>
      <c r="O7" s="1"/>
      <c r="P7" s="1"/>
      <c r="Q7" s="1" t="str">
        <f>Config!I20</f>
        <v>Слева</v>
      </c>
      <c r="R7" s="1"/>
      <c r="S7" s="1"/>
      <c r="T7" s="1"/>
      <c r="U7" s="1"/>
      <c r="V7" s="1" t="str">
        <f>Config!I20</f>
        <v>Слева</v>
      </c>
      <c r="W7" s="1"/>
      <c r="X7" s="1"/>
      <c r="Y7" s="1"/>
      <c r="Z7" s="1"/>
      <c r="AA7" s="1" t="str">
        <f>Config!I20</f>
        <v>Слева</v>
      </c>
      <c r="AB7" s="1"/>
      <c r="AC7" s="1"/>
      <c r="AD7" s="1"/>
      <c r="A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38</vt:i4>
      </vt:variant>
    </vt:vector>
  </HeadingPairs>
  <TitlesOfParts>
    <vt:vector size="40" baseType="lpstr">
      <vt:lpstr>Config</vt:lpstr>
      <vt:lpstr>_Lists</vt:lpstr>
      <vt:lpstr>InputLengthUnit</vt:lpstr>
      <vt:lpstr>lstBind2_1</vt:lpstr>
      <vt:lpstr>lstBind2_2</vt:lpstr>
      <vt:lpstr>lstBind2_3</vt:lpstr>
      <vt:lpstr>lstBind2_4</vt:lpstr>
      <vt:lpstr>lstBind2_5</vt:lpstr>
      <vt:lpstr>lstBind2_6</vt:lpstr>
      <vt:lpstr>lstBind3_1</vt:lpstr>
      <vt:lpstr>lstBind3_2</vt:lpstr>
      <vt:lpstr>lstBind3_3</vt:lpstr>
      <vt:lpstr>lstBind3_4</vt:lpstr>
      <vt:lpstr>lstBind3_5</vt:lpstr>
      <vt:lpstr>lstBind3_6</vt:lpstr>
      <vt:lpstr>lstInputLength</vt:lpstr>
      <vt:lpstr>lstPos2_1</vt:lpstr>
      <vt:lpstr>lstPos2_2</vt:lpstr>
      <vt:lpstr>lstPos2_3</vt:lpstr>
      <vt:lpstr>lstPos2_4</vt:lpstr>
      <vt:lpstr>lstPos2_5</vt:lpstr>
      <vt:lpstr>lstPos2_6</vt:lpstr>
      <vt:lpstr>lstPos3_1</vt:lpstr>
      <vt:lpstr>lstPos3_2</vt:lpstr>
      <vt:lpstr>lstPos3_3</vt:lpstr>
      <vt:lpstr>lstPos3_4</vt:lpstr>
      <vt:lpstr>lstPos3_5</vt:lpstr>
      <vt:lpstr>lstPos3_6</vt:lpstr>
      <vt:lpstr>lstSide1</vt:lpstr>
      <vt:lpstr>lstSide2</vt:lpstr>
      <vt:lpstr>lstSide3</vt:lpstr>
      <vt:lpstr>lstSide4</vt:lpstr>
      <vt:lpstr>lstSide5</vt:lpstr>
      <vt:lpstr>lstSide6</vt:lpstr>
      <vt:lpstr>rngCurrentSideKeys</vt:lpstr>
      <vt:lpstr>rngCurrentSideNames</vt:lpstr>
      <vt:lpstr>rngLSectionGeometry</vt:lpstr>
      <vt:lpstr>rngRebarInput</vt:lpstr>
      <vt:lpstr>rngUnitSettings</vt:lpstr>
      <vt:lpstr>selGeometryType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Авидзба Ахра Даурович</cp:lastModifiedBy>
  <dcterms:modified xsi:type="dcterms:W3CDTF">2026-10-18T11:26:47Z</dcterms:modified>
</cp:coreProperties>
</file>